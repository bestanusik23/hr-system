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รายงานเงินเดือนส่งพี่อ้อม\2569\ต.ค.69\"/>
    </mc:Choice>
  </mc:AlternateContent>
  <xr:revisionPtr revIDLastSave="0" documentId="13_ncr:1_{3E168B55-EB79-4108-A8C6-C9CD0184C4ED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heet1" sheetId="5" r:id="rId1"/>
    <sheet name="Sheet2" sheetId="2" r:id="rId2"/>
    <sheet name="68" sheetId="7" r:id="rId3"/>
    <sheet name="69" sheetId="6" r:id="rId4"/>
  </sheets>
  <definedNames>
    <definedName name="_xlnm.Print_Area" localSheetId="3">'69'!$A$1:$U$57</definedName>
    <definedName name="_xlnm.Print_Area" localSheetId="0">Sheet1!$A$1:$Q$49</definedName>
    <definedName name="_xlnm.Print_Area" localSheetId="1">Sheet2!$A$1:$N$25</definedName>
  </definedNames>
  <calcPr calcId="181029"/>
</workbook>
</file>

<file path=xl/calcChain.xml><?xml version="1.0" encoding="utf-8"?>
<calcChain xmlns="http://schemas.openxmlformats.org/spreadsheetml/2006/main">
  <c r="T43" i="6" l="1"/>
  <c r="S43" i="6"/>
  <c r="C14" i="2"/>
  <c r="E14" i="2"/>
  <c r="G14" i="2"/>
  <c r="I14" i="2"/>
  <c r="C15" i="2"/>
  <c r="E15" i="2"/>
  <c r="G15" i="2"/>
  <c r="I15" i="2"/>
  <c r="S44" i="6"/>
  <c r="S41" i="6"/>
  <c r="S42" i="6"/>
  <c r="S39" i="6"/>
  <c r="I5" i="2"/>
  <c r="S40" i="6" l="1"/>
  <c r="T41" i="6" s="1"/>
  <c r="S37" i="6"/>
  <c r="S35" i="6"/>
  <c r="S38" i="6"/>
  <c r="T39" i="6" s="1"/>
  <c r="S36" i="6"/>
  <c r="S33" i="6"/>
  <c r="S34" i="6"/>
  <c r="S31" i="6"/>
  <c r="S32" i="6"/>
  <c r="S29" i="6"/>
  <c r="L3" i="2"/>
  <c r="N3" i="2" s="1"/>
  <c r="S30" i="6"/>
  <c r="T30" i="6" s="1"/>
  <c r="T37" i="6" l="1"/>
  <c r="T35" i="6"/>
  <c r="T33" i="6"/>
  <c r="T31" i="6"/>
  <c r="P22" i="2"/>
  <c r="Q22" i="2"/>
  <c r="Q21" i="2"/>
  <c r="P21" i="2"/>
  <c r="S27" i="6"/>
  <c r="S26" i="6"/>
  <c r="T26" i="6" s="1"/>
  <c r="S28" i="6"/>
  <c r="T28" i="6" s="1"/>
  <c r="S25" i="6"/>
  <c r="S24" i="6"/>
  <c r="T24" i="6" s="1"/>
  <c r="C16" i="2"/>
  <c r="G17" i="2"/>
  <c r="L4" i="2"/>
  <c r="S24" i="7"/>
  <c r="T24" i="7" s="1"/>
  <c r="S23" i="7"/>
  <c r="S22" i="7"/>
  <c r="T22" i="7" s="1"/>
  <c r="T23" i="7" s="1"/>
  <c r="S21" i="7"/>
  <c r="T21" i="7" s="1"/>
  <c r="S20" i="7"/>
  <c r="T20" i="7" s="1"/>
  <c r="S19" i="7"/>
  <c r="T19" i="7" s="1"/>
  <c r="S18" i="7"/>
  <c r="T18" i="7" s="1"/>
  <c r="S17" i="7"/>
  <c r="T17" i="7" s="1"/>
  <c r="S16" i="7"/>
  <c r="T16" i="7" s="1"/>
  <c r="T15" i="7"/>
  <c r="S15" i="7"/>
  <c r="S14" i="7"/>
  <c r="T14" i="7" s="1"/>
  <c r="S13" i="7"/>
  <c r="S12" i="7"/>
  <c r="T13" i="7" s="1"/>
  <c r="S11" i="7"/>
  <c r="S10" i="7"/>
  <c r="T11" i="7" s="1"/>
  <c r="S9" i="7"/>
  <c r="S8" i="7"/>
  <c r="T9" i="7" s="1"/>
  <c r="S7" i="7"/>
  <c r="S6" i="7"/>
  <c r="T7" i="7" s="1"/>
  <c r="S5" i="7"/>
  <c r="S4" i="7"/>
  <c r="T5" i="7" s="1"/>
  <c r="S23" i="6"/>
  <c r="D5" i="2"/>
  <c r="E5" i="2"/>
  <c r="F5" i="2"/>
  <c r="G5" i="2"/>
  <c r="J5" i="2"/>
  <c r="K5" i="2"/>
  <c r="S21" i="6"/>
  <c r="I17" i="2" l="1"/>
  <c r="C17" i="2"/>
  <c r="T29" i="6"/>
  <c r="T27" i="6"/>
  <c r="T25" i="6"/>
  <c r="E17" i="2"/>
  <c r="S22" i="6"/>
  <c r="T22" i="6" s="1"/>
  <c r="T23" i="6" s="1"/>
  <c r="S19" i="6"/>
  <c r="S20" i="6"/>
  <c r="T20" i="6" s="1"/>
  <c r="S17" i="6"/>
  <c r="S18" i="6"/>
  <c r="T18" i="6" s="1"/>
  <c r="S15" i="6"/>
  <c r="S16" i="6"/>
  <c r="T16" i="6" s="1"/>
  <c r="S13" i="6"/>
  <c r="S14" i="6"/>
  <c r="T14" i="6" s="1"/>
  <c r="S11" i="6"/>
  <c r="M5" i="2"/>
  <c r="S12" i="6"/>
  <c r="S9" i="6"/>
  <c r="S10" i="6"/>
  <c r="S7" i="6"/>
  <c r="S8" i="6"/>
  <c r="S5" i="6"/>
  <c r="S6" i="6"/>
  <c r="S4" i="6"/>
  <c r="O44" i="5"/>
  <c r="T21" i="6" l="1"/>
  <c r="T19" i="6"/>
  <c r="T17" i="6"/>
  <c r="T15" i="6"/>
  <c r="T11" i="6"/>
  <c r="T13" i="6"/>
  <c r="T9" i="6"/>
  <c r="T7" i="6"/>
  <c r="T5" i="6"/>
  <c r="O41" i="5"/>
  <c r="O42" i="5"/>
  <c r="P44" i="5" s="1"/>
  <c r="O39" i="5"/>
  <c r="O40" i="5" l="1"/>
  <c r="P41" i="5" s="1"/>
  <c r="O36" i="5"/>
  <c r="O37" i="5" l="1"/>
  <c r="P39" i="5" s="1"/>
  <c r="O33" i="5" l="1"/>
  <c r="N4" i="2" l="1"/>
  <c r="Z24" i="2"/>
  <c r="Z25" i="2" s="1"/>
  <c r="O34" i="5"/>
  <c r="P36" i="5" s="1"/>
  <c r="N31" i="5"/>
  <c r="O31" i="5" s="1"/>
  <c r="O32" i="5"/>
  <c r="P33" i="5" s="1"/>
  <c r="D29" i="5"/>
  <c r="N29" i="5"/>
  <c r="O29" i="5" l="1"/>
  <c r="O30" i="5"/>
  <c r="P31" i="5" s="1"/>
  <c r="U30" i="5"/>
  <c r="V29" i="5"/>
  <c r="W29" i="5" s="1"/>
  <c r="AA51" i="5"/>
  <c r="Z49" i="5"/>
  <c r="X52" i="5" s="1"/>
  <c r="O27" i="5"/>
  <c r="U32" i="5" l="1"/>
  <c r="O28" i="5"/>
  <c r="P29" i="5" s="1"/>
  <c r="O25" i="5"/>
  <c r="O26" i="5" l="1"/>
  <c r="P27" i="5" s="1"/>
  <c r="N23" i="5"/>
  <c r="O23" i="5" s="1"/>
  <c r="N22" i="5"/>
  <c r="T24" i="5"/>
  <c r="O24" i="5"/>
  <c r="O21" i="5"/>
  <c r="P25" i="5" l="1"/>
  <c r="O22" i="5"/>
  <c r="P23" i="5" s="1"/>
  <c r="O20" i="5"/>
  <c r="P21" i="5" s="1"/>
  <c r="O19" i="5"/>
  <c r="O18" i="5"/>
  <c r="P19" i="5" l="1"/>
  <c r="O17" i="5"/>
  <c r="O16" i="5"/>
  <c r="O15" i="5"/>
  <c r="O14" i="5"/>
  <c r="O13" i="5"/>
  <c r="O12" i="5"/>
  <c r="O11" i="5"/>
  <c r="O10" i="5"/>
  <c r="O9" i="5"/>
  <c r="O8" i="5"/>
  <c r="O7" i="5"/>
  <c r="O5" i="5"/>
  <c r="O4" i="5"/>
  <c r="C5" i="2"/>
  <c r="P17" i="5" l="1"/>
  <c r="Q10" i="5"/>
  <c r="P5" i="5"/>
  <c r="Q8" i="5"/>
  <c r="Q12" i="5"/>
  <c r="Q15" i="5"/>
  <c r="L5" i="2"/>
</calcChain>
</file>

<file path=xl/sharedStrings.xml><?xml version="1.0" encoding="utf-8"?>
<sst xmlns="http://schemas.openxmlformats.org/spreadsheetml/2006/main" count="480" uniqueCount="137">
  <si>
    <t>Budget</t>
  </si>
  <si>
    <t>Actual</t>
  </si>
  <si>
    <t>จ่าย 5 09 65</t>
  </si>
  <si>
    <t>จ่าย 10 11 66</t>
  </si>
  <si>
    <t>จ่าย 10 10 66</t>
  </si>
  <si>
    <t>จ่าย 10 12 66</t>
  </si>
  <si>
    <t>จ่าย 10 01 66</t>
  </si>
  <si>
    <t>OT นอกประมาณการ</t>
  </si>
  <si>
    <t>ICU</t>
  </si>
  <si>
    <t>RN + Na</t>
  </si>
  <si>
    <t>ห้องยา</t>
  </si>
  <si>
    <t>X-ray + Lab</t>
  </si>
  <si>
    <t>อื่นๆ</t>
  </si>
  <si>
    <t>Budj. Total</t>
  </si>
  <si>
    <t xml:space="preserve">RN </t>
  </si>
  <si>
    <t>Na</t>
  </si>
  <si>
    <t>SUPERVISOR</t>
  </si>
  <si>
    <t>ผช.</t>
  </si>
  <si>
    <t>ภก.</t>
  </si>
  <si>
    <t>cash.</t>
  </si>
  <si>
    <t>Reg.</t>
  </si>
  <si>
    <t>X-ray</t>
  </si>
  <si>
    <t>Lab</t>
  </si>
  <si>
    <t>Actual Total</t>
  </si>
  <si>
    <t>ภก. ( PT)</t>
  </si>
  <si>
    <t>x-ray ( pt )</t>
  </si>
  <si>
    <t>พยาบาล</t>
  </si>
  <si>
    <t>( นายอนุสิกข์  ทองแผ่น )</t>
  </si>
  <si>
    <t>ผู้จัดทำ</t>
  </si>
  <si>
    <t>ผู้ตรวจสอบ</t>
  </si>
  <si>
    <t>ผู้อนุมัติ</t>
  </si>
  <si>
    <t>จ่ายมากกว่า</t>
  </si>
  <si>
    <t>จ่ายน้อยกว่า</t>
  </si>
  <si>
    <t>opd</t>
  </si>
  <si>
    <t xml:space="preserve">LR </t>
  </si>
  <si>
    <t>พขร</t>
  </si>
  <si>
    <t>เวชระเบียน,การเงิน</t>
  </si>
  <si>
    <t>( นางพิมพ์ศา  วงศ์เทพเตียน )</t>
  </si>
  <si>
    <t>จ่าย 31 01 67</t>
  </si>
  <si>
    <t>ipd 4</t>
  </si>
  <si>
    <t>ipd 3</t>
  </si>
  <si>
    <t>จ่าย 28 02 67</t>
  </si>
  <si>
    <t>จ่าย 31 03 67</t>
  </si>
  <si>
    <t>จ่าย 30 04 67</t>
  </si>
  <si>
    <t>ผ่าตัดกระเพาะ</t>
  </si>
  <si>
    <t>จ่าย 31 05 67</t>
  </si>
  <si>
    <t>หมายเหตุ</t>
  </si>
  <si>
    <t>rn</t>
  </si>
  <si>
    <t>na</t>
  </si>
  <si>
    <t>sup</t>
  </si>
  <si>
    <t>or</t>
  </si>
  <si>
    <t>จ่าย 30 06 67</t>
  </si>
  <si>
    <t>จ่าย 31 08 67</t>
  </si>
  <si>
    <t>จ่าย 31 07 67</t>
  </si>
  <si>
    <t>จ่าย 30 09 67</t>
  </si>
  <si>
    <t>ประมาณการ OT  และจ่ายจริง    ปี 2567</t>
  </si>
  <si>
    <t>จ่าย 31 10  67</t>
  </si>
  <si>
    <t>จ่าย 30 11  67</t>
  </si>
  <si>
    <t xml:space="preserve">บัญชี </t>
  </si>
  <si>
    <t>จ่าย 31 12  67</t>
  </si>
  <si>
    <t>ออกหน่วย</t>
  </si>
  <si>
    <t>( นายแพทย์วัชระ เตชะธีราวัฒน์ )</t>
  </si>
  <si>
    <t>จ่าย 31 01 68</t>
  </si>
  <si>
    <t xml:space="preserve">บัญชี  </t>
  </si>
  <si>
    <t xml:space="preserve"> </t>
  </si>
  <si>
    <t>ประมาณการ OT  และจ่ายจริง    ปี 2568</t>
  </si>
  <si>
    <t>ตึกรังสีรักษา</t>
  </si>
  <si>
    <t>บัญชี</t>
  </si>
  <si>
    <t>จ่าย 28 02 68</t>
  </si>
  <si>
    <t>จ่าย31 03 68</t>
  </si>
  <si>
    <t>-</t>
  </si>
  <si>
    <t>น้อยกว่า</t>
  </si>
  <si>
    <t>จ่าย30 04 68</t>
  </si>
  <si>
    <t>ONCALL</t>
  </si>
  <si>
    <t>On call</t>
  </si>
  <si>
    <t>ER</t>
  </si>
  <si>
    <t>08.00 -16.00</t>
  </si>
  <si>
    <t>เภสัชกร</t>
  </si>
  <si>
    <t>00.00 - 08.00</t>
  </si>
  <si>
    <t>ผู้ช่วยเภสัชกร</t>
  </si>
  <si>
    <t>รังสี</t>
  </si>
  <si>
    <t>นักรังสีเทคนิค</t>
  </si>
  <si>
    <t>ผู้ช่วยนักรังสีเทคนิค</t>
  </si>
  <si>
    <t>เทคนิคการแพทย์</t>
  </si>
  <si>
    <t>นักเทคนิคการแพทย์</t>
  </si>
  <si>
    <t>ผู้ช่วยนักเทคนิคการแพทย์</t>
  </si>
  <si>
    <t xml:space="preserve">16.00 - 20.00 </t>
  </si>
  <si>
    <t>2-3</t>
  </si>
  <si>
    <t>การเงิน</t>
  </si>
  <si>
    <t>ลงทะเบียน</t>
  </si>
  <si>
    <t>20.00 - 00.00</t>
  </si>
  <si>
    <t>1-2</t>
  </si>
  <si>
    <t>จ่าย31 05 68</t>
  </si>
  <si>
    <t>จ่าย30 06 68</t>
  </si>
  <si>
    <t>จ่าย31 07 68</t>
  </si>
  <si>
    <t>จ่าย31 08 68</t>
  </si>
  <si>
    <t>หมายเหตุ : เจ้าหน้าที่ ER ไปอบรมเฉพาะทาง</t>
  </si>
  <si>
    <t>มากกว่า</t>
  </si>
  <si>
    <t>พยาบาล ER ลาไปศึกษาต่อ 1 คน</t>
  </si>
  <si>
    <t>ผู้ช่วยเภสัชกร ลาออก 1 คน</t>
  </si>
  <si>
    <t>เพิ่มแคชเชียร์เวรเช้ารองรับลูกค้ากลุ่มสิทธิข้าราชการ</t>
  </si>
  <si>
    <t>จ่าย30 09 68</t>
  </si>
  <si>
    <t>จ่าย31 10 68</t>
  </si>
  <si>
    <t xml:space="preserve">เวร Supervisor มาช่วยเวร IPD </t>
  </si>
  <si>
    <t>จ่าย30 11 68</t>
  </si>
  <si>
    <t>REG ลาออก 1 คน</t>
  </si>
  <si>
    <t>จ่าย31 12 68</t>
  </si>
  <si>
    <t xml:space="preserve">        </t>
  </si>
  <si>
    <t>( นายแพทย์วัชระ  เตชะธีราวัฒน์ )</t>
  </si>
  <si>
    <t>จ่าย31 01 69</t>
  </si>
  <si>
    <t>เภสัช</t>
  </si>
  <si>
    <t>LAB</t>
  </si>
  <si>
    <t>ตึกมะเร็ง</t>
  </si>
  <si>
    <t>จ่าย28 02 69</t>
  </si>
  <si>
    <t>จ่าย31 03 69</t>
  </si>
  <si>
    <t>จ่าย30 04 69</t>
  </si>
  <si>
    <t>จ่าย31 05 69</t>
  </si>
  <si>
    <t>ประมาณการ OT  และจ่ายจริง    ปี 2569</t>
  </si>
  <si>
    <t>จ่าย30 06 69</t>
  </si>
  <si>
    <t xml:space="preserve">พยาบาล ER ลาออก ไม่รับเพิ่ม </t>
  </si>
  <si>
    <t>ลดเวรบ่าย - ดึก พยาบาลและผู้ช่วย IPD</t>
  </si>
  <si>
    <t xml:space="preserve">พยาบาล OPD  ลาออก 1 / PN ลาออก 1  ไม่รับเพิ่ม </t>
  </si>
  <si>
    <t>ปรับลดเวรผู้ช่วยนักเทคนิคการแพทย์</t>
  </si>
  <si>
    <t>มีผลเดือน พฤษภาคม 2569</t>
  </si>
  <si>
    <t>( นางพิมพ์พิศา  วงศ์เทพเตียน )</t>
  </si>
  <si>
    <t>จ่าย31 07 69</t>
  </si>
  <si>
    <t>จ่าย31 08 69</t>
  </si>
  <si>
    <t>อังคาร-พุธ เภสัชกร / ผู้ช่วยไปทำเคมีบำบัด</t>
  </si>
  <si>
    <t>บัญชี `IT</t>
  </si>
  <si>
    <t>เดือนกรกฎาคม 2569</t>
  </si>
  <si>
    <t xml:space="preserve">อนุมัติจ่ายเงินค่าล่วงเวลา แผนก บัญชี / IT เพื่อแก้ไขปัญหา และ ลงข้อมูล โปรแกรม BIT </t>
  </si>
  <si>
    <t>จ่าย31 10 69</t>
  </si>
  <si>
    <t>จ่าย30 09 69</t>
  </si>
  <si>
    <t>เดือนกันยายน 2569</t>
  </si>
  <si>
    <t>เดือนตุลาคม 2569</t>
  </si>
  <si>
    <t>ออกหน่วยสนับสนุนการแข่งฟุตบอลไทยลีก 3</t>
  </si>
  <si>
    <t>พนักงานขับรถฉุกเฉินไปทำโอทีตึกรังสีรักษา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</si>
</sst>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Angsana New"/>
      <family val="1"/>
    </font>
    <font>
      <sz val="16"/>
      <name val="Angsana New"/>
      <family val="1"/>
    </font>
    <font>
      <sz val="12"/>
      <color rgb="FFFF0000"/>
      <name val="Angsana New"/>
      <family val="1"/>
    </font>
    <font>
      <b/>
      <sz val="14"/>
      <color rgb="FFFF0000"/>
      <name val="Angsana New"/>
      <family val="1"/>
    </font>
    <font>
      <sz val="14"/>
      <color rgb="FFFF0000"/>
      <name val="Angsana New"/>
      <family val="1"/>
    </font>
    <font>
      <sz val="12"/>
      <name val="Angsana New"/>
      <family val="1"/>
    </font>
    <font>
      <b/>
      <sz val="14"/>
      <color theme="1"/>
      <name val="Angsana New"/>
      <family val="1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222"/>
      <scheme val="minor"/>
    </font>
    <font>
      <sz val="16"/>
      <color theme="1"/>
      <name val="Angsana New"/>
      <family val="1"/>
    </font>
    <font>
      <sz val="11"/>
      <color theme="1"/>
      <name val="Angsana New"/>
      <family val="1"/>
    </font>
    <font>
      <b/>
      <sz val="14"/>
      <name val="Angsana New"/>
      <family val="1"/>
    </font>
    <font>
      <b/>
      <u/>
      <sz val="16"/>
      <color theme="1"/>
      <name val="Angsana New"/>
      <family val="1"/>
    </font>
    <font>
      <sz val="8"/>
      <name val="Calibri"/>
      <family val="2"/>
      <charset val="222"/>
      <scheme val="minor"/>
    </font>
    <font>
      <b/>
      <u val="singleAccounting"/>
      <sz val="11"/>
      <color theme="1"/>
      <name val="Calibri"/>
      <family val="2"/>
      <scheme val="minor"/>
    </font>
    <font>
      <b/>
      <sz val="16"/>
      <color theme="1"/>
      <name val="Angsana New"/>
      <family val="1"/>
    </font>
    <font>
      <sz val="11"/>
      <name val="Angsana New"/>
      <family val="1"/>
    </font>
    <font>
      <sz val="14"/>
      <color theme="1"/>
      <name val="Angsana New"/>
      <family val="1"/>
    </font>
    <font>
      <sz val="11"/>
      <color rgb="FFFF0000"/>
      <name val="Angsana New"/>
      <family val="1"/>
    </font>
    <font>
      <b/>
      <sz val="14"/>
      <color theme="6"/>
      <name val="Angsana New"/>
      <family val="1"/>
    </font>
    <font>
      <b/>
      <sz val="14"/>
      <color theme="6" tint="-0.249977111117893"/>
      <name val="Angsana New"/>
      <family val="1"/>
    </font>
    <font>
      <b/>
      <sz val="14"/>
      <color rgb="FF00B050"/>
      <name val="Angsana New"/>
      <family val="1"/>
    </font>
    <font>
      <sz val="12"/>
      <color theme="1"/>
      <name val="Angsana New"/>
      <family val="1"/>
    </font>
    <font>
      <sz val="12"/>
      <color theme="1"/>
      <name val="Calibri"/>
      <family val="2"/>
      <charset val="222"/>
      <scheme val="minor"/>
    </font>
    <font>
      <b/>
      <u/>
      <sz val="14"/>
      <color rgb="FFFF0000"/>
      <name val="Angsana New"/>
      <family val="1"/>
    </font>
    <font>
      <b/>
      <sz val="12"/>
      <color rgb="FFFF0000"/>
      <name val="Angsana New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7" fontId="2" fillId="2" borderId="0" xfId="0" applyNumberFormat="1" applyFont="1" applyFill="1" applyAlignment="1">
      <alignment horizontal="center"/>
    </xf>
    <xf numFmtId="164" fontId="6" fillId="2" borderId="7" xfId="1" applyNumberFormat="1" applyFont="1" applyFill="1" applyBorder="1"/>
    <xf numFmtId="164" fontId="6" fillId="2" borderId="8" xfId="1" applyNumberFormat="1" applyFont="1" applyFill="1" applyBorder="1"/>
    <xf numFmtId="164" fontId="6" fillId="2" borderId="11" xfId="1" applyNumberFormat="1" applyFont="1" applyFill="1" applyBorder="1"/>
    <xf numFmtId="17" fontId="2" fillId="2" borderId="4" xfId="0" applyNumberFormat="1" applyFont="1" applyFill="1" applyBorder="1" applyAlignment="1">
      <alignment horizontal="center"/>
    </xf>
    <xf numFmtId="17" fontId="4" fillId="2" borderId="4" xfId="0" applyNumberFormat="1" applyFont="1" applyFill="1" applyBorder="1" applyAlignment="1">
      <alignment horizontal="center"/>
    </xf>
    <xf numFmtId="17" fontId="2" fillId="2" borderId="7" xfId="0" applyNumberFormat="1" applyFont="1" applyFill="1" applyBorder="1" applyAlignment="1">
      <alignment horizontal="center"/>
    </xf>
    <xf numFmtId="164" fontId="2" fillId="2" borderId="6" xfId="1" applyNumberFormat="1" applyFont="1" applyFill="1" applyBorder="1"/>
    <xf numFmtId="164" fontId="2" fillId="2" borderId="1" xfId="1" applyNumberFormat="1" applyFont="1" applyFill="1" applyBorder="1"/>
    <xf numFmtId="164" fontId="2" fillId="2" borderId="3" xfId="1" applyNumberFormat="1" applyFont="1" applyFill="1" applyBorder="1"/>
    <xf numFmtId="164" fontId="2" fillId="2" borderId="2" xfId="1" applyNumberFormat="1" applyFont="1" applyFill="1" applyBorder="1"/>
    <xf numFmtId="164" fontId="2" fillId="2" borderId="9" xfId="1" applyNumberFormat="1" applyFont="1" applyFill="1" applyBorder="1"/>
    <xf numFmtId="164" fontId="2" fillId="2" borderId="4" xfId="1" applyNumberFormat="1" applyFont="1" applyFill="1" applyBorder="1"/>
    <xf numFmtId="164" fontId="2" fillId="2" borderId="5" xfId="1" applyNumberFormat="1" applyFont="1" applyFill="1" applyBorder="1"/>
    <xf numFmtId="164" fontId="2" fillId="2" borderId="0" xfId="1" applyNumberFormat="1" applyFont="1" applyFill="1" applyBorder="1"/>
    <xf numFmtId="164" fontId="2" fillId="2" borderId="7" xfId="1" applyNumberFormat="1" applyFont="1" applyFill="1" applyBorder="1"/>
    <xf numFmtId="164" fontId="5" fillId="2" borderId="8" xfId="1" applyNumberFormat="1" applyFont="1" applyFill="1" applyBorder="1"/>
    <xf numFmtId="17" fontId="2" fillId="2" borderId="1" xfId="0" applyNumberFormat="1" applyFont="1" applyFill="1" applyBorder="1" applyAlignment="1">
      <alignment horizontal="center"/>
    </xf>
    <xf numFmtId="17" fontId="2" fillId="2" borderId="2" xfId="0" applyNumberFormat="1" applyFont="1" applyFill="1" applyBorder="1" applyAlignment="1">
      <alignment horizontal="center"/>
    </xf>
    <xf numFmtId="164" fontId="2" fillId="2" borderId="8" xfId="1" applyNumberFormat="1" applyFont="1" applyFill="1" applyBorder="1"/>
    <xf numFmtId="164" fontId="6" fillId="2" borderId="5" xfId="1" applyNumberFormat="1" applyFont="1" applyFill="1" applyBorder="1"/>
    <xf numFmtId="164" fontId="6" fillId="2" borderId="0" xfId="1" applyNumberFormat="1" applyFont="1" applyFill="1" applyBorder="1"/>
    <xf numFmtId="164" fontId="2" fillId="2" borderId="0" xfId="1" applyNumberFormat="1" applyFont="1" applyFill="1" applyBorder="1" applyAlignment="1">
      <alignment horizontal="right"/>
    </xf>
    <xf numFmtId="164" fontId="5" fillId="2" borderId="5" xfId="1" applyNumberFormat="1" applyFont="1" applyFill="1" applyBorder="1"/>
    <xf numFmtId="164" fontId="2" fillId="2" borderId="11" xfId="1" applyNumberFormat="1" applyFont="1" applyFill="1" applyBorder="1"/>
    <xf numFmtId="164" fontId="2" fillId="3" borderId="5" xfId="1" applyNumberFormat="1" applyFont="1" applyFill="1" applyBorder="1"/>
    <xf numFmtId="17" fontId="4" fillId="2" borderId="6" xfId="0" applyNumberFormat="1" applyFont="1" applyFill="1" applyBorder="1" applyAlignment="1">
      <alignment horizontal="center"/>
    </xf>
    <xf numFmtId="164" fontId="6" fillId="2" borderId="3" xfId="1" applyNumberFormat="1" applyFont="1" applyFill="1" applyBorder="1"/>
    <xf numFmtId="0" fontId="0" fillId="0" borderId="8" xfId="0" applyBorder="1"/>
    <xf numFmtId="164" fontId="2" fillId="4" borderId="11" xfId="1" applyNumberFormat="1" applyFont="1" applyFill="1" applyBorder="1"/>
    <xf numFmtId="17" fontId="2" fillId="2" borderId="5" xfId="0" applyNumberFormat="1" applyFont="1" applyFill="1" applyBorder="1" applyAlignment="1">
      <alignment horizontal="center"/>
    </xf>
    <xf numFmtId="17" fontId="2" fillId="2" borderId="3" xfId="0" applyNumberFormat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right"/>
    </xf>
    <xf numFmtId="164" fontId="2" fillId="3" borderId="10" xfId="1" applyNumberFormat="1" applyFont="1" applyFill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3" borderId="11" xfId="1" applyNumberFormat="1" applyFont="1" applyFill="1" applyBorder="1"/>
    <xf numFmtId="164" fontId="2" fillId="5" borderId="7" xfId="1" applyNumberFormat="1" applyFont="1" applyFill="1" applyBorder="1"/>
    <xf numFmtId="164" fontId="2" fillId="2" borderId="7" xfId="1" applyNumberFormat="1" applyFont="1" applyFill="1" applyBorder="1" applyAlignment="1">
      <alignment horizontal="right"/>
    </xf>
    <xf numFmtId="164" fontId="10" fillId="7" borderId="8" xfId="0" applyNumberFormat="1" applyFont="1" applyFill="1" applyBorder="1"/>
    <xf numFmtId="0" fontId="11" fillId="0" borderId="0" xfId="0" applyFont="1"/>
    <xf numFmtId="0" fontId="12" fillId="0" borderId="0" xfId="0" applyFont="1"/>
    <xf numFmtId="43" fontId="0" fillId="0" borderId="0" xfId="1" applyFont="1"/>
    <xf numFmtId="43" fontId="9" fillId="0" borderId="0" xfId="1" applyFont="1"/>
    <xf numFmtId="17" fontId="2" fillId="0" borderId="8" xfId="0" applyNumberFormat="1" applyFont="1" applyBorder="1" applyAlignment="1">
      <alignment horizontal="center"/>
    </xf>
    <xf numFmtId="164" fontId="11" fillId="0" borderId="0" xfId="1" applyNumberFormat="1" applyFont="1"/>
    <xf numFmtId="164" fontId="14" fillId="0" borderId="0" xfId="1" applyNumberFormat="1" applyFont="1"/>
    <xf numFmtId="0" fontId="2" fillId="0" borderId="1" xfId="0" applyFont="1" applyBorder="1"/>
    <xf numFmtId="0" fontId="2" fillId="0" borderId="3" xfId="0" applyFont="1" applyBorder="1"/>
    <xf numFmtId="164" fontId="10" fillId="2" borderId="0" xfId="0" applyNumberFormat="1" applyFont="1" applyFill="1"/>
    <xf numFmtId="164" fontId="6" fillId="6" borderId="9" xfId="1" applyNumberFormat="1" applyFont="1" applyFill="1" applyBorder="1"/>
    <xf numFmtId="0" fontId="2" fillId="0" borderId="13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164" fontId="10" fillId="2" borderId="11" xfId="0" applyNumberFormat="1" applyFont="1" applyFill="1" applyBorder="1"/>
    <xf numFmtId="164" fontId="10" fillId="2" borderId="10" xfId="0" applyNumberFormat="1" applyFont="1" applyFill="1" applyBorder="1"/>
    <xf numFmtId="164" fontId="0" fillId="0" borderId="0" xfId="1" applyNumberFormat="1" applyFont="1"/>
    <xf numFmtId="0" fontId="8" fillId="7" borderId="14" xfId="0" applyFont="1" applyFill="1" applyBorder="1" applyAlignment="1">
      <alignment horizontal="center" vertical="center"/>
    </xf>
    <xf numFmtId="164" fontId="2" fillId="7" borderId="5" xfId="1" applyNumberFormat="1" applyFont="1" applyFill="1" applyBorder="1"/>
    <xf numFmtId="164" fontId="6" fillId="7" borderId="5" xfId="1" applyNumberFormat="1" applyFont="1" applyFill="1" applyBorder="1"/>
    <xf numFmtId="164" fontId="2" fillId="7" borderId="5" xfId="1" applyNumberFormat="1" applyFont="1" applyFill="1" applyBorder="1" applyAlignment="1">
      <alignment horizontal="right"/>
    </xf>
    <xf numFmtId="164" fontId="13" fillId="2" borderId="3" xfId="1" applyNumberFormat="1" applyFont="1" applyFill="1" applyBorder="1"/>
    <xf numFmtId="164" fontId="13" fillId="2" borderId="8" xfId="1" applyNumberFormat="1" applyFont="1" applyFill="1" applyBorder="1"/>
    <xf numFmtId="0" fontId="0" fillId="0" borderId="5" xfId="0" applyBorder="1"/>
    <xf numFmtId="164" fontId="2" fillId="2" borderId="10" xfId="1" applyNumberFormat="1" applyFont="1" applyFill="1" applyBorder="1"/>
    <xf numFmtId="164" fontId="6" fillId="6" borderId="11" xfId="1" applyNumberFormat="1" applyFont="1" applyFill="1" applyBorder="1"/>
    <xf numFmtId="164" fontId="0" fillId="0" borderId="0" xfId="0" applyNumberFormat="1"/>
    <xf numFmtId="164" fontId="10" fillId="4" borderId="8" xfId="0" applyNumberFormat="1" applyFont="1" applyFill="1" applyBorder="1"/>
    <xf numFmtId="164" fontId="16" fillId="6" borderId="0" xfId="0" applyNumberFormat="1" applyFont="1" applyFill="1"/>
    <xf numFmtId="164" fontId="2" fillId="2" borderId="3" xfId="1" applyNumberFormat="1" applyFont="1" applyFill="1" applyBorder="1" applyAlignment="1">
      <alignment horizontal="right"/>
    </xf>
    <xf numFmtId="164" fontId="2" fillId="2" borderId="5" xfId="1" applyNumberFormat="1" applyFont="1" applyFill="1" applyBorder="1" applyAlignment="1">
      <alignment horizontal="right"/>
    </xf>
    <xf numFmtId="164" fontId="2" fillId="2" borderId="8" xfId="1" applyNumberFormat="1" applyFont="1" applyFill="1" applyBorder="1" applyAlignment="1">
      <alignment horizontal="right"/>
    </xf>
    <xf numFmtId="164" fontId="0" fillId="8" borderId="0" xfId="0" applyNumberFormat="1" applyFill="1"/>
    <xf numFmtId="0" fontId="17" fillId="0" borderId="0" xfId="0" applyFont="1"/>
    <xf numFmtId="164" fontId="17" fillId="0" borderId="7" xfId="1" applyNumberFormat="1" applyFont="1" applyBorder="1"/>
    <xf numFmtId="17" fontId="18" fillId="2" borderId="0" xfId="0" applyNumberFormat="1" applyFont="1" applyFill="1"/>
    <xf numFmtId="164" fontId="2" fillId="9" borderId="7" xfId="1" applyNumberFormat="1" applyFont="1" applyFill="1" applyBorder="1"/>
    <xf numFmtId="164" fontId="2" fillId="9" borderId="8" xfId="1" applyNumberFormat="1" applyFont="1" applyFill="1" applyBorder="1"/>
    <xf numFmtId="164" fontId="2" fillId="9" borderId="6" xfId="1" applyNumberFormat="1" applyFont="1" applyFill="1" applyBorder="1"/>
    <xf numFmtId="164" fontId="10" fillId="9" borderId="8" xfId="0" applyNumberFormat="1" applyFont="1" applyFill="1" applyBorder="1"/>
    <xf numFmtId="17" fontId="2" fillId="2" borderId="8" xfId="0" applyNumberFormat="1" applyFont="1" applyFill="1" applyBorder="1" applyAlignment="1">
      <alignment horizontal="center"/>
    </xf>
    <xf numFmtId="17" fontId="4" fillId="2" borderId="0" xfId="0" applyNumberFormat="1" applyFont="1" applyFill="1" applyAlignment="1">
      <alignment horizontal="center"/>
    </xf>
    <xf numFmtId="164" fontId="2" fillId="9" borderId="0" xfId="1" applyNumberFormat="1" applyFont="1" applyFill="1" applyBorder="1"/>
    <xf numFmtId="164" fontId="10" fillId="4" borderId="0" xfId="0" applyNumberFormat="1" applyFont="1" applyFill="1"/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 vertical="center"/>
    </xf>
    <xf numFmtId="17" fontId="6" fillId="2" borderId="6" xfId="0" applyNumberFormat="1" applyFont="1" applyFill="1" applyBorder="1" applyAlignment="1">
      <alignment horizontal="center"/>
    </xf>
    <xf numFmtId="0" fontId="19" fillId="0" borderId="0" xfId="0" applyFont="1"/>
    <xf numFmtId="0" fontId="19" fillId="0" borderId="9" xfId="0" applyFont="1" applyBorder="1"/>
    <xf numFmtId="0" fontId="19" fillId="0" borderId="11" xfId="0" applyFont="1" applyBorder="1"/>
    <xf numFmtId="164" fontId="2" fillId="2" borderId="9" xfId="1" applyNumberFormat="1" applyFont="1" applyFill="1" applyBorder="1" applyAlignment="1">
      <alignment horizontal="right"/>
    </xf>
    <xf numFmtId="164" fontId="19" fillId="0" borderId="9" xfId="0" applyNumberFormat="1" applyFont="1" applyBorder="1"/>
    <xf numFmtId="0" fontId="13" fillId="2" borderId="3" xfId="0" applyFont="1" applyFill="1" applyBorder="1" applyAlignment="1">
      <alignment horizontal="center"/>
    </xf>
    <xf numFmtId="17" fontId="13" fillId="2" borderId="8" xfId="0" applyNumberFormat="1" applyFont="1" applyFill="1" applyBorder="1" applyAlignment="1">
      <alignment horizontal="center"/>
    </xf>
    <xf numFmtId="17" fontId="19" fillId="0" borderId="1" xfId="0" applyNumberFormat="1" applyFont="1" applyBorder="1" applyAlignment="1">
      <alignment horizontal="left"/>
    </xf>
    <xf numFmtId="17" fontId="2" fillId="2" borderId="4" xfId="0" applyNumberFormat="1" applyFont="1" applyFill="1" applyBorder="1" applyAlignment="1">
      <alignment horizontal="left"/>
    </xf>
    <xf numFmtId="164" fontId="19" fillId="0" borderId="11" xfId="1" applyNumberFormat="1" applyFont="1" applyBorder="1"/>
    <xf numFmtId="164" fontId="19" fillId="4" borderId="11" xfId="0" applyNumberFormat="1" applyFont="1" applyFill="1" applyBorder="1"/>
    <xf numFmtId="0" fontId="19" fillId="0" borderId="3" xfId="0" applyFont="1" applyBorder="1"/>
    <xf numFmtId="164" fontId="19" fillId="0" borderId="10" xfId="0" applyNumberFormat="1" applyFont="1" applyBorder="1"/>
    <xf numFmtId="164" fontId="19" fillId="0" borderId="11" xfId="0" applyNumberFormat="1" applyFont="1" applyBorder="1"/>
    <xf numFmtId="164" fontId="11" fillId="2" borderId="0" xfId="1" applyNumberFormat="1" applyFont="1" applyFill="1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19" fillId="0" borderId="0" xfId="0" applyFont="1" applyAlignment="1">
      <alignment horizontal="center"/>
    </xf>
    <xf numFmtId="49" fontId="11" fillId="0" borderId="0" xfId="1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11" fillId="0" borderId="0" xfId="1" applyNumberFormat="1" applyFont="1" applyAlignment="1">
      <alignment horizontal="center"/>
    </xf>
    <xf numFmtId="164" fontId="19" fillId="0" borderId="9" xfId="1" applyNumberFormat="1" applyFont="1" applyBorder="1"/>
    <xf numFmtId="164" fontId="2" fillId="2" borderId="1" xfId="1" applyNumberFormat="1" applyFont="1" applyFill="1" applyBorder="1" applyAlignment="1">
      <alignment horizontal="right"/>
    </xf>
    <xf numFmtId="164" fontId="19" fillId="0" borderId="6" xfId="1" applyNumberFormat="1" applyFont="1" applyBorder="1"/>
    <xf numFmtId="164" fontId="19" fillId="0" borderId="8" xfId="1" applyNumberFormat="1" applyFont="1" applyBorder="1"/>
    <xf numFmtId="0" fontId="8" fillId="2" borderId="3" xfId="0" applyFont="1" applyFill="1" applyBorder="1" applyAlignment="1">
      <alignment horizontal="center" vertical="center"/>
    </xf>
    <xf numFmtId="0" fontId="19" fillId="0" borderId="10" xfId="0" applyFont="1" applyBorder="1"/>
    <xf numFmtId="0" fontId="19" fillId="0" borderId="1" xfId="0" applyFont="1" applyBorder="1"/>
    <xf numFmtId="0" fontId="19" fillId="0" borderId="6" xfId="0" applyFont="1" applyBorder="1"/>
    <xf numFmtId="164" fontId="19" fillId="0" borderId="3" xfId="0" applyNumberFormat="1" applyFont="1" applyBorder="1"/>
    <xf numFmtId="164" fontId="19" fillId="0" borderId="8" xfId="0" applyNumberFormat="1" applyFont="1" applyBorder="1"/>
    <xf numFmtId="164" fontId="19" fillId="0" borderId="10" xfId="1" applyNumberFormat="1" applyFont="1" applyBorder="1"/>
    <xf numFmtId="17" fontId="20" fillId="2" borderId="0" xfId="0" applyNumberFormat="1" applyFont="1" applyFill="1" applyAlignment="1">
      <alignment horizontal="left"/>
    </xf>
    <xf numFmtId="164" fontId="19" fillId="8" borderId="11" xfId="0" applyNumberFormat="1" applyFont="1" applyFill="1" applyBorder="1"/>
    <xf numFmtId="164" fontId="6" fillId="0" borderId="11" xfId="0" applyNumberFormat="1" applyFont="1" applyBorder="1"/>
    <xf numFmtId="164" fontId="8" fillId="7" borderId="11" xfId="0" applyNumberFormat="1" applyFont="1" applyFill="1" applyBorder="1"/>
    <xf numFmtId="164" fontId="2" fillId="2" borderId="10" xfId="1" applyNumberFormat="1" applyFont="1" applyFill="1" applyBorder="1" applyAlignment="1">
      <alignment horizontal="right"/>
    </xf>
    <xf numFmtId="164" fontId="21" fillId="0" borderId="11" xfId="0" applyNumberFormat="1" applyFont="1" applyBorder="1"/>
    <xf numFmtId="164" fontId="19" fillId="0" borderId="1" xfId="0" applyNumberFormat="1" applyFont="1" applyBorder="1"/>
    <xf numFmtId="164" fontId="21" fillId="0" borderId="10" xfId="0" applyNumberFormat="1" applyFont="1" applyBorder="1"/>
    <xf numFmtId="164" fontId="22" fillId="0" borderId="11" xfId="0" applyNumberFormat="1" applyFont="1" applyBorder="1"/>
    <xf numFmtId="164" fontId="19" fillId="2" borderId="6" xfId="0" applyNumberFormat="1" applyFont="1" applyFill="1" applyBorder="1"/>
    <xf numFmtId="0" fontId="0" fillId="0" borderId="9" xfId="0" applyBorder="1"/>
    <xf numFmtId="164" fontId="23" fillId="0" borderId="11" xfId="0" applyNumberFormat="1" applyFont="1" applyBorder="1"/>
    <xf numFmtId="17" fontId="4" fillId="2" borderId="0" xfId="0" applyNumberFormat="1" applyFont="1" applyFill="1" applyAlignment="1">
      <alignment horizontal="left"/>
    </xf>
    <xf numFmtId="17" fontId="7" fillId="2" borderId="0" xfId="0" applyNumberFormat="1" applyFont="1" applyFill="1" applyAlignment="1">
      <alignment horizontal="center"/>
    </xf>
    <xf numFmtId="164" fontId="7" fillId="2" borderId="0" xfId="1" applyNumberFormat="1" applyFont="1" applyFill="1" applyBorder="1"/>
    <xf numFmtId="0" fontId="24" fillId="0" borderId="0" xfId="0" applyFont="1"/>
    <xf numFmtId="0" fontId="25" fillId="0" borderId="0" xfId="0" applyFont="1"/>
    <xf numFmtId="164" fontId="19" fillId="2" borderId="11" xfId="0" applyNumberFormat="1" applyFont="1" applyFill="1" applyBorder="1"/>
    <xf numFmtId="164" fontId="19" fillId="0" borderId="4" xfId="1" applyNumberFormat="1" applyFont="1" applyBorder="1"/>
    <xf numFmtId="164" fontId="5" fillId="0" borderId="11" xfId="0" applyNumberFormat="1" applyFont="1" applyBorder="1"/>
    <xf numFmtId="164" fontId="5" fillId="2" borderId="0" xfId="1" applyNumberFormat="1" applyFont="1" applyFill="1" applyBorder="1"/>
    <xf numFmtId="164" fontId="27" fillId="2" borderId="0" xfId="1" applyNumberFormat="1" applyFont="1" applyFill="1" applyBorder="1"/>
    <xf numFmtId="17" fontId="6" fillId="2" borderId="0" xfId="0" applyNumberFormat="1" applyFont="1" applyFill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" fontId="2" fillId="2" borderId="6" xfId="0" applyNumberFormat="1" applyFont="1" applyFill="1" applyBorder="1" applyAlignment="1">
      <alignment horizontal="center"/>
    </xf>
    <xf numFmtId="17" fontId="2" fillId="2" borderId="8" xfId="0" applyNumberFormat="1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7" fontId="18" fillId="2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" fontId="26" fillId="2" borderId="0" xfId="0" applyNumberFormat="1" applyFont="1" applyFill="1" applyAlignment="1">
      <alignment horizontal="center"/>
    </xf>
    <xf numFmtId="17" fontId="4" fillId="2" borderId="0" xfId="0" applyNumberFormat="1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F23622-1B82-48C0-81BC-05ACDA578B5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00e7b1df-0521-4595-8cf9-a8c19e79119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F9A86-46C6-4F30-82F1-1581D059003D}">
  <dimension ref="A1:AA52"/>
  <sheetViews>
    <sheetView view="pageBreakPreview" topLeftCell="A30" zoomScaleNormal="100" zoomScaleSheetLayoutView="100" workbookViewId="0">
      <selection activeCell="K46" sqref="K46"/>
    </sheetView>
  </sheetViews>
  <sheetFormatPr defaultRowHeight="15"/>
  <cols>
    <col min="1" max="2" width="9.5703125" customWidth="1"/>
    <col min="3" max="16" width="14.42578125" customWidth="1"/>
    <col min="17" max="17" width="17.5703125" hidden="1" customWidth="1"/>
    <col min="18" max="18" width="10.5703125" customWidth="1"/>
    <col min="19" max="19" width="13.28515625" bestFit="1" customWidth="1"/>
  </cols>
  <sheetData>
    <row r="1" spans="1:19" ht="29.25" customHeight="1">
      <c r="A1" s="1"/>
      <c r="B1" s="1"/>
      <c r="C1" s="2"/>
      <c r="D1" s="2"/>
      <c r="E1" s="2"/>
      <c r="F1" s="2"/>
      <c r="G1" s="3" t="s">
        <v>55</v>
      </c>
      <c r="H1" s="2"/>
      <c r="I1" s="2"/>
      <c r="J1" s="2"/>
      <c r="K1" s="2"/>
      <c r="L1" s="3"/>
      <c r="M1" s="3"/>
      <c r="N1" s="3"/>
      <c r="O1" s="2"/>
      <c r="P1" s="2"/>
      <c r="Q1" s="2"/>
    </row>
    <row r="2" spans="1:19" ht="21">
      <c r="A2" s="38"/>
      <c r="B2" s="39"/>
      <c r="C2" s="164" t="s">
        <v>9</v>
      </c>
      <c r="D2" s="165"/>
      <c r="E2" s="166"/>
      <c r="F2" s="167" t="s">
        <v>10</v>
      </c>
      <c r="G2" s="168"/>
      <c r="H2" s="58" t="s">
        <v>36</v>
      </c>
      <c r="I2" s="59"/>
      <c r="J2" s="169" t="s">
        <v>11</v>
      </c>
      <c r="K2" s="167"/>
      <c r="L2" s="173" t="s">
        <v>12</v>
      </c>
      <c r="M2" s="174"/>
      <c r="N2" s="175"/>
      <c r="O2" s="40" t="s">
        <v>13</v>
      </c>
      <c r="P2" s="160" t="s">
        <v>46</v>
      </c>
      <c r="Q2" s="160" t="s">
        <v>32</v>
      </c>
    </row>
    <row r="3" spans="1:19" ht="21">
      <c r="A3" s="44"/>
      <c r="B3" s="45"/>
      <c r="C3" s="41" t="s">
        <v>14</v>
      </c>
      <c r="D3" s="42" t="s">
        <v>15</v>
      </c>
      <c r="E3" s="43" t="s">
        <v>16</v>
      </c>
      <c r="F3" s="45" t="s">
        <v>17</v>
      </c>
      <c r="G3" s="46" t="s">
        <v>18</v>
      </c>
      <c r="H3" s="45" t="s">
        <v>19</v>
      </c>
      <c r="I3" s="45" t="s">
        <v>20</v>
      </c>
      <c r="J3" s="44" t="s">
        <v>21</v>
      </c>
      <c r="K3" s="45" t="s">
        <v>22</v>
      </c>
      <c r="L3" s="62" t="s">
        <v>24</v>
      </c>
      <c r="M3" s="63" t="s">
        <v>25</v>
      </c>
      <c r="N3" s="67" t="s">
        <v>44</v>
      </c>
      <c r="O3" s="55" t="s">
        <v>23</v>
      </c>
      <c r="P3" s="161"/>
      <c r="Q3" s="161"/>
    </row>
    <row r="4" spans="1:19" ht="21" hidden="1">
      <c r="A4" s="8">
        <v>243101</v>
      </c>
      <c r="B4" s="4" t="s">
        <v>0</v>
      </c>
      <c r="C4" s="16">
        <v>87920</v>
      </c>
      <c r="D4" s="18">
        <v>18685</v>
      </c>
      <c r="E4" s="17"/>
      <c r="F4" s="18">
        <v>0</v>
      </c>
      <c r="G4" s="17">
        <v>15750</v>
      </c>
      <c r="H4" s="14">
        <v>560</v>
      </c>
      <c r="I4" s="13">
        <v>1951</v>
      </c>
      <c r="J4" s="14">
        <v>0</v>
      </c>
      <c r="K4" s="14">
        <v>0</v>
      </c>
      <c r="L4" s="16">
        <v>4650</v>
      </c>
      <c r="M4" s="18">
        <v>2082</v>
      </c>
      <c r="N4" s="68"/>
      <c r="O4" s="13" t="e">
        <f>C4+D4+F4+G4+#REF!+H4+I4+J4+K4+#REF!+L4+#REF!</f>
        <v>#REF!</v>
      </c>
      <c r="P4" s="13">
        <v>0</v>
      </c>
      <c r="Q4" s="13"/>
    </row>
    <row r="5" spans="1:19" ht="21" hidden="1">
      <c r="A5" s="9" t="s">
        <v>2</v>
      </c>
      <c r="B5" s="4" t="s">
        <v>1</v>
      </c>
      <c r="C5" s="16">
        <v>102920</v>
      </c>
      <c r="D5" s="18">
        <v>22501</v>
      </c>
      <c r="E5" s="17"/>
      <c r="F5" s="18">
        <v>1792</v>
      </c>
      <c r="G5" s="17">
        <v>9600</v>
      </c>
      <c r="H5" s="18">
        <v>2327</v>
      </c>
      <c r="I5" s="17">
        <v>4256</v>
      </c>
      <c r="J5" s="18">
        <v>0</v>
      </c>
      <c r="K5" s="18">
        <v>0</v>
      </c>
      <c r="L5" s="16">
        <v>5392</v>
      </c>
      <c r="M5" s="18">
        <v>1792</v>
      </c>
      <c r="N5" s="68"/>
      <c r="O5" s="23" t="e">
        <f>C5+D5+F5+G5+#REF!+H5+I5+J5+K5+#REF!+L5+#REF!</f>
        <v>#REF!</v>
      </c>
      <c r="P5" s="27" t="e">
        <f>O4-O5</f>
        <v>#REF!</v>
      </c>
      <c r="Q5" s="17"/>
    </row>
    <row r="6" spans="1:19" ht="21" hidden="1">
      <c r="A6" s="8"/>
      <c r="B6" s="4"/>
      <c r="C6" s="16"/>
      <c r="D6" s="25"/>
      <c r="E6" s="24"/>
      <c r="F6" s="25"/>
      <c r="G6" s="24"/>
      <c r="H6" s="5"/>
      <c r="I6" s="6"/>
      <c r="J6" s="5"/>
      <c r="K6" s="5"/>
      <c r="L6" s="16">
        <v>0</v>
      </c>
      <c r="M6" s="25"/>
      <c r="N6" s="69"/>
      <c r="O6" s="24">
        <v>0</v>
      </c>
      <c r="P6" s="7">
        <v>0</v>
      </c>
      <c r="Q6" s="20"/>
    </row>
    <row r="7" spans="1:19" ht="21" hidden="1">
      <c r="A7" s="21">
        <v>243132</v>
      </c>
      <c r="B7" s="22" t="s">
        <v>0</v>
      </c>
      <c r="C7" s="12">
        <v>87280</v>
      </c>
      <c r="D7" s="14">
        <v>50656</v>
      </c>
      <c r="E7" s="13"/>
      <c r="F7" s="14">
        <v>0</v>
      </c>
      <c r="G7" s="13">
        <v>7350</v>
      </c>
      <c r="H7" s="14">
        <v>6496</v>
      </c>
      <c r="I7" s="13">
        <v>0</v>
      </c>
      <c r="J7" s="14">
        <v>15360</v>
      </c>
      <c r="K7" s="14">
        <v>7840</v>
      </c>
      <c r="L7" s="16">
        <v>34350</v>
      </c>
      <c r="M7" s="18"/>
      <c r="N7" s="68"/>
      <c r="O7" s="13" t="e">
        <f>C7+D7+F7+G7+#REF!+H7+I7+J7+K7+#REF!+L7+#REF!</f>
        <v>#REF!</v>
      </c>
      <c r="P7" s="13"/>
      <c r="Q7" s="13"/>
    </row>
    <row r="8" spans="1:19" ht="21" hidden="1">
      <c r="A8" s="30" t="s">
        <v>4</v>
      </c>
      <c r="B8" s="10" t="s">
        <v>1</v>
      </c>
      <c r="C8" s="11">
        <v>70200</v>
      </c>
      <c r="D8" s="19">
        <v>44492</v>
      </c>
      <c r="E8" s="23"/>
      <c r="F8" s="19">
        <v>0</v>
      </c>
      <c r="G8" s="23">
        <v>5550</v>
      </c>
      <c r="H8" s="18">
        <v>6496</v>
      </c>
      <c r="I8" s="17"/>
      <c r="J8" s="18">
        <v>14912</v>
      </c>
      <c r="K8" s="18">
        <v>7840</v>
      </c>
      <c r="L8" s="16">
        <v>27150</v>
      </c>
      <c r="M8" s="26"/>
      <c r="N8" s="70"/>
      <c r="O8" s="17" t="e">
        <f>C8+D8+F8+G8+#REF!+H8+I8+J8+K8+#REF!+L8+#REF!</f>
        <v>#REF!</v>
      </c>
      <c r="P8" s="17"/>
      <c r="Q8" s="29" t="e">
        <f>O7-O8</f>
        <v>#REF!</v>
      </c>
    </row>
    <row r="9" spans="1:19" ht="21" hidden="1">
      <c r="A9" s="21">
        <v>243162</v>
      </c>
      <c r="B9" s="22" t="s">
        <v>0</v>
      </c>
      <c r="C9" s="12">
        <v>81372</v>
      </c>
      <c r="D9" s="14">
        <v>39750</v>
      </c>
      <c r="E9" s="13"/>
      <c r="F9" s="14">
        <v>7784</v>
      </c>
      <c r="G9" s="13">
        <v>4800</v>
      </c>
      <c r="H9" s="14">
        <v>7168</v>
      </c>
      <c r="I9" s="13">
        <v>4256</v>
      </c>
      <c r="J9" s="14">
        <v>12307</v>
      </c>
      <c r="K9" s="14">
        <v>8864</v>
      </c>
      <c r="L9" s="16">
        <v>18000</v>
      </c>
      <c r="M9" s="18">
        <v>2800</v>
      </c>
      <c r="N9" s="68"/>
      <c r="O9" s="13" t="e">
        <f>C9+D9+F9+G9+#REF!+H9+I9+J9+K9+#REF!+L9+#REF!</f>
        <v>#REF!</v>
      </c>
      <c r="P9" s="31"/>
      <c r="Q9" s="15"/>
    </row>
    <row r="10" spans="1:19" ht="21" hidden="1">
      <c r="A10" s="9" t="s">
        <v>3</v>
      </c>
      <c r="B10" s="4" t="s">
        <v>1</v>
      </c>
      <c r="C10" s="11">
        <v>62140</v>
      </c>
      <c r="D10" s="19">
        <v>44016</v>
      </c>
      <c r="E10" s="23"/>
      <c r="F10" s="19">
        <v>13440</v>
      </c>
      <c r="G10" s="23">
        <v>4800</v>
      </c>
      <c r="H10" s="19">
        <v>6720</v>
      </c>
      <c r="I10" s="23">
        <v>3136</v>
      </c>
      <c r="J10" s="18">
        <v>12307</v>
      </c>
      <c r="K10" s="18">
        <v>8864</v>
      </c>
      <c r="L10" s="16">
        <v>18000</v>
      </c>
      <c r="M10" s="26">
        <v>2800</v>
      </c>
      <c r="N10" s="70"/>
      <c r="O10" s="23" t="e">
        <f>C10+D10+F10+G10+#REF!+H10+I10+J10+K10+#REF!+L10+#REF!</f>
        <v>#REF!</v>
      </c>
      <c r="P10" s="32"/>
      <c r="Q10" s="33" t="e">
        <f>O9-O10</f>
        <v>#REF!</v>
      </c>
    </row>
    <row r="11" spans="1:19" ht="21" hidden="1">
      <c r="A11" s="21">
        <v>243193</v>
      </c>
      <c r="B11" s="35" t="s">
        <v>0</v>
      </c>
      <c r="C11" s="18">
        <v>63600</v>
      </c>
      <c r="D11" s="18">
        <v>47042</v>
      </c>
      <c r="E11" s="17">
        <v>24000</v>
      </c>
      <c r="F11" s="18">
        <v>10980</v>
      </c>
      <c r="G11" s="17">
        <v>3600</v>
      </c>
      <c r="H11" s="14">
        <v>7616</v>
      </c>
      <c r="I11" s="13">
        <v>4704</v>
      </c>
      <c r="J11" s="14">
        <v>3150</v>
      </c>
      <c r="K11" s="14">
        <v>6864</v>
      </c>
      <c r="L11" s="16">
        <v>11550</v>
      </c>
      <c r="M11" s="26">
        <v>0</v>
      </c>
      <c r="N11" s="70"/>
      <c r="O11" s="13">
        <f t="shared" ref="O11:O25" si="0">SUM(C11:N11)</f>
        <v>183106</v>
      </c>
      <c r="P11" s="31"/>
      <c r="Q11" s="15"/>
    </row>
    <row r="12" spans="1:19" ht="21" hidden="1">
      <c r="A12" s="9" t="s">
        <v>5</v>
      </c>
      <c r="B12" s="34" t="s">
        <v>1</v>
      </c>
      <c r="C12" s="18">
        <v>48700</v>
      </c>
      <c r="D12" s="18">
        <v>43222</v>
      </c>
      <c r="E12" s="17">
        <v>24000</v>
      </c>
      <c r="F12" s="18">
        <v>10980</v>
      </c>
      <c r="G12" s="17">
        <v>3600</v>
      </c>
      <c r="H12" s="18">
        <v>7616</v>
      </c>
      <c r="I12" s="17">
        <v>4256</v>
      </c>
      <c r="J12" s="18">
        <v>3150</v>
      </c>
      <c r="K12" s="18">
        <v>6864</v>
      </c>
      <c r="L12" s="16">
        <v>11550</v>
      </c>
      <c r="M12" s="26">
        <v>0</v>
      </c>
      <c r="N12" s="70"/>
      <c r="O12" s="17">
        <f t="shared" si="0"/>
        <v>163938</v>
      </c>
      <c r="P12" s="24"/>
      <c r="Q12" s="37">
        <f>O11-O12</f>
        <v>19168</v>
      </c>
    </row>
    <row r="13" spans="1:19" ht="21" hidden="1">
      <c r="A13" s="170" t="s">
        <v>7</v>
      </c>
      <c r="B13" s="171"/>
      <c r="C13" s="19"/>
      <c r="D13" s="19">
        <v>2349</v>
      </c>
      <c r="E13" s="23"/>
      <c r="F13" s="19"/>
      <c r="G13" s="23"/>
      <c r="H13" s="18"/>
      <c r="I13" s="17"/>
      <c r="J13" s="18"/>
      <c r="K13" s="18"/>
      <c r="L13" s="16"/>
      <c r="M13" s="18"/>
      <c r="N13" s="68"/>
      <c r="O13" s="23">
        <f t="shared" si="0"/>
        <v>2349</v>
      </c>
      <c r="P13" s="32"/>
      <c r="Q13" s="28"/>
    </row>
    <row r="14" spans="1:19" ht="21" hidden="1">
      <c r="A14" s="8">
        <v>243223</v>
      </c>
      <c r="B14" s="4" t="s">
        <v>0</v>
      </c>
      <c r="C14" s="16">
        <v>46400</v>
      </c>
      <c r="D14" s="18">
        <v>58464</v>
      </c>
      <c r="E14" s="17">
        <v>24800</v>
      </c>
      <c r="F14" s="12">
        <v>12432</v>
      </c>
      <c r="G14" s="13">
        <v>3750</v>
      </c>
      <c r="H14" s="14">
        <v>3808</v>
      </c>
      <c r="I14" s="14">
        <v>6720</v>
      </c>
      <c r="J14" s="12">
        <v>7744</v>
      </c>
      <c r="K14" s="14">
        <v>6688</v>
      </c>
      <c r="L14" s="16">
        <v>14850</v>
      </c>
      <c r="M14" s="26"/>
      <c r="N14" s="70"/>
      <c r="O14" s="17">
        <f t="shared" si="0"/>
        <v>185656</v>
      </c>
      <c r="P14" s="31"/>
      <c r="Q14" s="15"/>
    </row>
    <row r="15" spans="1:19" ht="21" hidden="1">
      <c r="A15" s="30" t="s">
        <v>6</v>
      </c>
      <c r="B15" s="10" t="s">
        <v>1</v>
      </c>
      <c r="C15" s="11">
        <v>24660</v>
      </c>
      <c r="D15" s="19">
        <v>43120</v>
      </c>
      <c r="E15" s="23">
        <v>24800</v>
      </c>
      <c r="F15" s="11">
        <v>12432</v>
      </c>
      <c r="G15" s="23">
        <v>3750</v>
      </c>
      <c r="H15" s="19">
        <v>3808</v>
      </c>
      <c r="I15" s="48">
        <v>8064</v>
      </c>
      <c r="J15" s="11">
        <v>7744</v>
      </c>
      <c r="K15" s="19">
        <v>6688</v>
      </c>
      <c r="L15" s="16">
        <v>14850</v>
      </c>
      <c r="M15" s="26"/>
      <c r="N15" s="70"/>
      <c r="O15" s="17">
        <f t="shared" si="0"/>
        <v>149916</v>
      </c>
      <c r="P15" s="73"/>
      <c r="Q15" s="47">
        <f>O14-O15</f>
        <v>35740</v>
      </c>
    </row>
    <row r="16" spans="1:19" ht="21" hidden="1">
      <c r="A16" s="21">
        <v>243588</v>
      </c>
      <c r="B16" s="22" t="s">
        <v>0</v>
      </c>
      <c r="C16" s="12">
        <v>140400</v>
      </c>
      <c r="D16" s="14">
        <v>74256</v>
      </c>
      <c r="E16" s="13">
        <v>24000</v>
      </c>
      <c r="F16" s="14">
        <v>17248</v>
      </c>
      <c r="G16" s="13">
        <v>46800</v>
      </c>
      <c r="H16" s="14">
        <v>15008</v>
      </c>
      <c r="I16" s="13">
        <v>5152</v>
      </c>
      <c r="J16" s="14">
        <v>4832</v>
      </c>
      <c r="K16" s="14">
        <v>23392</v>
      </c>
      <c r="L16" s="12">
        <v>10800</v>
      </c>
      <c r="M16" s="36">
        <v>5600</v>
      </c>
      <c r="N16" s="79">
        <v>0</v>
      </c>
      <c r="O16" s="18">
        <f t="shared" si="0"/>
        <v>367488</v>
      </c>
      <c r="P16" s="61" t="s">
        <v>31</v>
      </c>
      <c r="Q16" s="71"/>
      <c r="S16" s="53"/>
    </row>
    <row r="17" spans="1:27" ht="21" hidden="1">
      <c r="A17" s="30" t="s">
        <v>38</v>
      </c>
      <c r="B17" s="10" t="s">
        <v>1</v>
      </c>
      <c r="C17" s="11">
        <v>142900</v>
      </c>
      <c r="D17" s="19">
        <v>77224</v>
      </c>
      <c r="E17" s="23">
        <v>24000</v>
      </c>
      <c r="F17" s="19">
        <v>17248</v>
      </c>
      <c r="G17" s="23">
        <v>46800</v>
      </c>
      <c r="H17" s="19">
        <v>14896</v>
      </c>
      <c r="I17" s="23">
        <v>5152</v>
      </c>
      <c r="J17" s="19">
        <v>4832</v>
      </c>
      <c r="K17" s="19">
        <v>22992</v>
      </c>
      <c r="L17" s="16">
        <v>10800</v>
      </c>
      <c r="M17" s="26">
        <v>6400</v>
      </c>
      <c r="N17" s="80">
        <v>0</v>
      </c>
      <c r="O17" s="19">
        <f t="shared" si="0"/>
        <v>373244</v>
      </c>
      <c r="P17" s="75">
        <f>O17-O16</f>
        <v>5756</v>
      </c>
      <c r="Q17" s="72"/>
      <c r="S17" s="53"/>
    </row>
    <row r="18" spans="1:27" ht="21">
      <c r="A18" s="21">
        <v>243619</v>
      </c>
      <c r="B18" s="22" t="s">
        <v>0</v>
      </c>
      <c r="C18" s="12">
        <v>127200</v>
      </c>
      <c r="D18" s="14">
        <v>74592</v>
      </c>
      <c r="E18" s="13">
        <v>24800</v>
      </c>
      <c r="F18" s="14">
        <v>13440</v>
      </c>
      <c r="G18" s="13">
        <v>48300</v>
      </c>
      <c r="H18" s="14">
        <v>12096</v>
      </c>
      <c r="I18" s="17">
        <v>8064</v>
      </c>
      <c r="J18" s="12">
        <v>6896</v>
      </c>
      <c r="K18" s="14">
        <v>23936</v>
      </c>
      <c r="L18" s="12">
        <v>10200</v>
      </c>
      <c r="M18" s="36">
        <v>4800</v>
      </c>
      <c r="N18" s="79">
        <v>0</v>
      </c>
      <c r="O18" s="13">
        <f t="shared" si="0"/>
        <v>354324</v>
      </c>
      <c r="P18" s="74" t="s">
        <v>32</v>
      </c>
      <c r="Q18" s="15"/>
      <c r="S18" s="53"/>
    </row>
    <row r="19" spans="1:27" ht="21">
      <c r="A19" s="30" t="s">
        <v>41</v>
      </c>
      <c r="B19" s="10" t="s">
        <v>1</v>
      </c>
      <c r="C19" s="11">
        <v>96100</v>
      </c>
      <c r="D19" s="19">
        <v>50736</v>
      </c>
      <c r="E19" s="23">
        <v>24800</v>
      </c>
      <c r="F19" s="19">
        <v>13216</v>
      </c>
      <c r="G19" s="23">
        <v>48300</v>
      </c>
      <c r="H19" s="19">
        <v>12096</v>
      </c>
      <c r="I19" s="23">
        <v>8064</v>
      </c>
      <c r="J19" s="11">
        <v>7920</v>
      </c>
      <c r="K19" s="19">
        <v>23936</v>
      </c>
      <c r="L19" s="11">
        <v>10200</v>
      </c>
      <c r="M19" s="19">
        <v>4500</v>
      </c>
      <c r="N19" s="81">
        <v>0</v>
      </c>
      <c r="O19" s="23">
        <f t="shared" si="0"/>
        <v>299868</v>
      </c>
      <c r="P19" s="50">
        <f>O18-O19</f>
        <v>54456</v>
      </c>
      <c r="Q19" s="64"/>
    </row>
    <row r="20" spans="1:27" ht="21">
      <c r="A20" s="21">
        <v>243650</v>
      </c>
      <c r="B20" s="22" t="s">
        <v>0</v>
      </c>
      <c r="C20" s="12">
        <v>153600</v>
      </c>
      <c r="D20" s="14">
        <v>75488</v>
      </c>
      <c r="E20" s="13">
        <v>24800</v>
      </c>
      <c r="F20" s="14">
        <v>12544</v>
      </c>
      <c r="G20" s="13">
        <v>45900</v>
      </c>
      <c r="H20" s="14">
        <v>12096</v>
      </c>
      <c r="I20" s="17">
        <v>8690</v>
      </c>
      <c r="J20" s="12">
        <v>10032</v>
      </c>
      <c r="K20" s="14">
        <v>35152</v>
      </c>
      <c r="L20" s="16">
        <v>15600</v>
      </c>
      <c r="M20" s="26">
        <v>4000</v>
      </c>
      <c r="N20" s="17">
        <v>0</v>
      </c>
      <c r="O20" s="13">
        <f t="shared" si="0"/>
        <v>397902</v>
      </c>
      <c r="P20" s="15" t="s">
        <v>32</v>
      </c>
      <c r="Q20" s="65"/>
      <c r="T20">
        <v>33600</v>
      </c>
      <c r="U20" t="s">
        <v>47</v>
      </c>
    </row>
    <row r="21" spans="1:27" ht="21">
      <c r="A21" s="30" t="s">
        <v>42</v>
      </c>
      <c r="B21" s="10" t="s">
        <v>1</v>
      </c>
      <c r="C21" s="11">
        <v>117000</v>
      </c>
      <c r="D21" s="19">
        <v>60816</v>
      </c>
      <c r="E21" s="23">
        <v>24800</v>
      </c>
      <c r="F21" s="19">
        <v>10976</v>
      </c>
      <c r="G21" s="23">
        <v>45900</v>
      </c>
      <c r="H21" s="19">
        <v>12096</v>
      </c>
      <c r="I21" s="23">
        <v>8960</v>
      </c>
      <c r="J21" s="11">
        <v>8112</v>
      </c>
      <c r="K21" s="19">
        <v>34704</v>
      </c>
      <c r="L21" s="16">
        <v>15600</v>
      </c>
      <c r="M21" s="26">
        <v>0</v>
      </c>
      <c r="N21" s="17">
        <v>0</v>
      </c>
      <c r="O21" s="17">
        <f t="shared" si="0"/>
        <v>338964</v>
      </c>
      <c r="P21" s="50">
        <f>O20-O21</f>
        <v>58938</v>
      </c>
      <c r="Q21" s="64"/>
      <c r="T21">
        <v>21056</v>
      </c>
      <c r="U21" t="s">
        <v>48</v>
      </c>
      <c r="Y21">
        <v>6800</v>
      </c>
    </row>
    <row r="22" spans="1:27" ht="21">
      <c r="A22" s="21">
        <v>243678</v>
      </c>
      <c r="B22" s="22" t="s">
        <v>0</v>
      </c>
      <c r="C22" s="12">
        <v>116000</v>
      </c>
      <c r="D22" s="14">
        <v>62048</v>
      </c>
      <c r="E22" s="13">
        <v>23200</v>
      </c>
      <c r="F22" s="14">
        <v>6888</v>
      </c>
      <c r="G22" s="13">
        <v>43500</v>
      </c>
      <c r="H22" s="14">
        <v>13216</v>
      </c>
      <c r="I22" s="17">
        <v>4704</v>
      </c>
      <c r="J22" s="12">
        <v>10680</v>
      </c>
      <c r="K22" s="14">
        <v>24208</v>
      </c>
      <c r="L22" s="12">
        <v>9900</v>
      </c>
      <c r="M22" s="36">
        <v>3200</v>
      </c>
      <c r="N22" s="13">
        <f>147420-88426</f>
        <v>58994</v>
      </c>
      <c r="O22" s="13">
        <f t="shared" si="0"/>
        <v>376538</v>
      </c>
      <c r="P22" s="13" t="s">
        <v>32</v>
      </c>
      <c r="Q22" s="60"/>
      <c r="T22">
        <v>756</v>
      </c>
      <c r="U22" t="s">
        <v>49</v>
      </c>
      <c r="Y22">
        <v>5600</v>
      </c>
    </row>
    <row r="23" spans="1:27" ht="21">
      <c r="A23" s="30" t="s">
        <v>43</v>
      </c>
      <c r="B23" s="10" t="s">
        <v>1</v>
      </c>
      <c r="C23" s="11">
        <v>86300</v>
      </c>
      <c r="D23" s="19">
        <v>42392</v>
      </c>
      <c r="E23" s="23">
        <v>23200</v>
      </c>
      <c r="F23" s="19">
        <v>9576</v>
      </c>
      <c r="G23" s="23">
        <v>43500</v>
      </c>
      <c r="H23" s="19">
        <v>12768</v>
      </c>
      <c r="I23" s="23">
        <v>4480</v>
      </c>
      <c r="J23" s="11">
        <v>9680</v>
      </c>
      <c r="K23" s="19">
        <v>24608</v>
      </c>
      <c r="L23" s="11">
        <v>9900</v>
      </c>
      <c r="M23" s="49">
        <v>3200</v>
      </c>
      <c r="N23" s="23">
        <f>143838-88426</f>
        <v>55412</v>
      </c>
      <c r="O23" s="23">
        <f t="shared" si="0"/>
        <v>325016</v>
      </c>
      <c r="P23" s="50">
        <f>O22-O23</f>
        <v>51522</v>
      </c>
      <c r="Q23" s="60"/>
      <c r="T23">
        <v>88426</v>
      </c>
      <c r="U23" t="s">
        <v>50</v>
      </c>
      <c r="Y23">
        <v>5600</v>
      </c>
    </row>
    <row r="24" spans="1:27" ht="21">
      <c r="A24" s="21">
        <v>243709</v>
      </c>
      <c r="B24" s="22" t="s">
        <v>0</v>
      </c>
      <c r="C24" s="12">
        <v>143200</v>
      </c>
      <c r="D24" s="14">
        <v>71456</v>
      </c>
      <c r="E24" s="13">
        <v>24800</v>
      </c>
      <c r="F24" s="14">
        <v>13496</v>
      </c>
      <c r="G24" s="13">
        <v>55500</v>
      </c>
      <c r="H24" s="14">
        <v>12880</v>
      </c>
      <c r="I24" s="17">
        <v>10304</v>
      </c>
      <c r="J24" s="12">
        <v>9984</v>
      </c>
      <c r="K24" s="14">
        <v>26080</v>
      </c>
      <c r="L24" s="12">
        <v>11250</v>
      </c>
      <c r="M24" s="36">
        <v>4800</v>
      </c>
      <c r="N24" s="13">
        <v>0</v>
      </c>
      <c r="O24" s="13">
        <f t="shared" si="0"/>
        <v>383750</v>
      </c>
      <c r="P24" s="13" t="s">
        <v>32</v>
      </c>
      <c r="Q24" s="60"/>
      <c r="T24">
        <f>SUM(T20:T23)</f>
        <v>143838</v>
      </c>
      <c r="Y24">
        <v>3360</v>
      </c>
    </row>
    <row r="25" spans="1:27" ht="21">
      <c r="A25" s="30" t="s">
        <v>45</v>
      </c>
      <c r="B25" s="10" t="s">
        <v>1</v>
      </c>
      <c r="C25" s="11">
        <v>104500</v>
      </c>
      <c r="D25" s="19">
        <v>67872</v>
      </c>
      <c r="E25" s="23">
        <v>24800</v>
      </c>
      <c r="F25" s="19">
        <v>13440</v>
      </c>
      <c r="G25" s="23">
        <v>58800</v>
      </c>
      <c r="H25" s="19">
        <v>12880</v>
      </c>
      <c r="I25" s="23">
        <v>10976</v>
      </c>
      <c r="J25" s="11">
        <v>10384</v>
      </c>
      <c r="K25" s="19">
        <v>25680</v>
      </c>
      <c r="L25" s="11">
        <v>15450</v>
      </c>
      <c r="M25" s="49">
        <v>4800</v>
      </c>
      <c r="N25" s="23"/>
      <c r="O25" s="23">
        <f t="shared" si="0"/>
        <v>349582</v>
      </c>
      <c r="P25" s="77">
        <f>O24-O25</f>
        <v>34168</v>
      </c>
      <c r="Q25" s="60"/>
      <c r="U25">
        <v>52</v>
      </c>
      <c r="V25">
        <v>48</v>
      </c>
      <c r="Y25">
        <v>3360</v>
      </c>
    </row>
    <row r="26" spans="1:27" ht="21">
      <c r="A26" s="21">
        <v>243739</v>
      </c>
      <c r="B26" s="22" t="s">
        <v>0</v>
      </c>
      <c r="C26" s="12">
        <v>178400</v>
      </c>
      <c r="D26" s="14">
        <v>69664</v>
      </c>
      <c r="E26" s="13">
        <v>24000</v>
      </c>
      <c r="F26" s="14">
        <v>12320</v>
      </c>
      <c r="G26" s="13">
        <v>52800</v>
      </c>
      <c r="H26" s="14">
        <v>13440</v>
      </c>
      <c r="I26" s="17">
        <v>9408</v>
      </c>
      <c r="J26" s="12">
        <v>6032</v>
      </c>
      <c r="K26" s="14">
        <v>28080</v>
      </c>
      <c r="L26" s="12">
        <v>14250</v>
      </c>
      <c r="M26" s="36" t="s">
        <v>64</v>
      </c>
      <c r="N26" s="13">
        <v>0</v>
      </c>
      <c r="O26" s="13">
        <f t="shared" ref="O26:O27" si="1">SUM(C26:N26)</f>
        <v>408394</v>
      </c>
      <c r="P26" s="13" t="s">
        <v>32</v>
      </c>
      <c r="Q26" s="60"/>
      <c r="U26">
        <v>44</v>
      </c>
      <c r="V26">
        <v>48</v>
      </c>
      <c r="Y26">
        <v>3360</v>
      </c>
    </row>
    <row r="27" spans="1:27" ht="21">
      <c r="A27" s="30" t="s">
        <v>51</v>
      </c>
      <c r="B27" s="10" t="s">
        <v>1</v>
      </c>
      <c r="C27" s="11">
        <v>140000</v>
      </c>
      <c r="D27" s="19">
        <v>71960</v>
      </c>
      <c r="E27" s="23">
        <v>24000</v>
      </c>
      <c r="F27" s="19">
        <v>12264</v>
      </c>
      <c r="G27" s="23">
        <v>51000</v>
      </c>
      <c r="H27" s="19">
        <v>13440</v>
      </c>
      <c r="I27" s="23">
        <v>10080</v>
      </c>
      <c r="J27" s="16">
        <v>8432</v>
      </c>
      <c r="K27" s="18">
        <v>26960</v>
      </c>
      <c r="L27" s="11">
        <v>12750</v>
      </c>
      <c r="M27" s="49">
        <v>0</v>
      </c>
      <c r="N27" s="23">
        <v>0</v>
      </c>
      <c r="O27" s="23">
        <f t="shared" si="1"/>
        <v>370886</v>
      </c>
      <c r="P27" s="77">
        <f>O26-O27</f>
        <v>37508</v>
      </c>
      <c r="Q27" s="60"/>
      <c r="U27" s="76">
        <v>44</v>
      </c>
      <c r="V27">
        <v>44</v>
      </c>
    </row>
    <row r="28" spans="1:27" ht="21">
      <c r="A28" s="21">
        <v>243770</v>
      </c>
      <c r="B28" s="22" t="s">
        <v>0</v>
      </c>
      <c r="C28" s="12">
        <v>145600</v>
      </c>
      <c r="D28" s="14">
        <v>76696</v>
      </c>
      <c r="E28" s="13">
        <v>24800</v>
      </c>
      <c r="F28" s="14">
        <v>14112</v>
      </c>
      <c r="G28" s="13">
        <v>49200</v>
      </c>
      <c r="H28" s="14">
        <v>13440</v>
      </c>
      <c r="I28" s="17">
        <v>12096</v>
      </c>
      <c r="J28" s="12">
        <v>14936</v>
      </c>
      <c r="K28" s="13">
        <v>30480</v>
      </c>
      <c r="L28" s="12">
        <v>14250</v>
      </c>
      <c r="M28" s="36">
        <v>0</v>
      </c>
      <c r="N28" s="13">
        <v>59904</v>
      </c>
      <c r="O28" s="15">
        <f t="shared" ref="O28:O29" si="2">SUM(C28:N28)</f>
        <v>455514</v>
      </c>
      <c r="P28" s="13" t="s">
        <v>32</v>
      </c>
      <c r="Q28" s="60"/>
      <c r="U28">
        <v>44</v>
      </c>
      <c r="V28">
        <v>44</v>
      </c>
    </row>
    <row r="29" spans="1:27" ht="21">
      <c r="A29" s="30" t="s">
        <v>53</v>
      </c>
      <c r="B29" s="10" t="s">
        <v>1</v>
      </c>
      <c r="C29" s="11">
        <v>127000</v>
      </c>
      <c r="D29" s="19">
        <f>72352</f>
        <v>72352</v>
      </c>
      <c r="E29" s="23">
        <v>24800</v>
      </c>
      <c r="F29" s="19">
        <v>17976</v>
      </c>
      <c r="G29" s="23">
        <v>47550</v>
      </c>
      <c r="H29" s="19">
        <v>13440</v>
      </c>
      <c r="I29" s="23">
        <v>12096</v>
      </c>
      <c r="J29" s="11">
        <v>15328</v>
      </c>
      <c r="K29" s="23">
        <v>30080</v>
      </c>
      <c r="L29" s="11">
        <v>13800</v>
      </c>
      <c r="M29" s="49"/>
      <c r="N29" s="23">
        <f>59904+756</f>
        <v>60660</v>
      </c>
      <c r="O29" s="28">
        <f t="shared" si="2"/>
        <v>435082</v>
      </c>
      <c r="P29" s="77">
        <f>O28-O29</f>
        <v>20432</v>
      </c>
      <c r="Q29" s="60"/>
      <c r="R29">
        <v>434326</v>
      </c>
      <c r="U29">
        <v>8</v>
      </c>
      <c r="V29">
        <f>SUM(V25:V28)</f>
        <v>184</v>
      </c>
      <c r="W29">
        <f>V29*56</f>
        <v>10304</v>
      </c>
      <c r="Z29">
        <v>4800</v>
      </c>
      <c r="AA29">
        <v>5600</v>
      </c>
    </row>
    <row r="30" spans="1:27" ht="21">
      <c r="A30" s="21">
        <v>243800</v>
      </c>
      <c r="B30" s="22" t="s">
        <v>0</v>
      </c>
      <c r="C30" s="12">
        <v>139600</v>
      </c>
      <c r="D30" s="14">
        <v>64648</v>
      </c>
      <c r="E30" s="13">
        <v>24000</v>
      </c>
      <c r="F30" s="14">
        <v>13608</v>
      </c>
      <c r="G30" s="13">
        <v>53100</v>
      </c>
      <c r="H30" s="14">
        <v>10752</v>
      </c>
      <c r="I30" s="17">
        <v>10304</v>
      </c>
      <c r="J30" s="12">
        <v>22268</v>
      </c>
      <c r="K30" s="13">
        <v>31680</v>
      </c>
      <c r="L30" s="12">
        <v>11100</v>
      </c>
      <c r="M30" s="36">
        <v>0</v>
      </c>
      <c r="N30" s="13">
        <v>63661</v>
      </c>
      <c r="O30" s="15">
        <f>SUM(C30:N30)</f>
        <v>444721</v>
      </c>
      <c r="P30" s="13" t="s">
        <v>32</v>
      </c>
      <c r="Q30" s="60"/>
      <c r="U30">
        <f>SUM(U25:U29)</f>
        <v>192</v>
      </c>
      <c r="Z30">
        <v>6400</v>
      </c>
      <c r="AA30">
        <v>4800</v>
      </c>
    </row>
    <row r="31" spans="1:27" ht="21">
      <c r="A31" s="30" t="s">
        <v>52</v>
      </c>
      <c r="B31" s="10" t="s">
        <v>1</v>
      </c>
      <c r="C31" s="11">
        <v>132700</v>
      </c>
      <c r="D31" s="19">
        <v>72072</v>
      </c>
      <c r="E31" s="23">
        <v>24000</v>
      </c>
      <c r="F31" s="19">
        <v>13384</v>
      </c>
      <c r="G31" s="23">
        <v>51600</v>
      </c>
      <c r="H31" s="19">
        <v>10752</v>
      </c>
      <c r="I31" s="23">
        <v>10640</v>
      </c>
      <c r="J31" s="11">
        <v>16352</v>
      </c>
      <c r="K31" s="23">
        <v>31232</v>
      </c>
      <c r="L31" s="11">
        <v>11100</v>
      </c>
      <c r="M31" s="49">
        <v>0</v>
      </c>
      <c r="N31" s="23">
        <f>59904+378</f>
        <v>60282</v>
      </c>
      <c r="O31" s="28">
        <f>SUM(C31:N31)</f>
        <v>434114</v>
      </c>
      <c r="P31" s="77">
        <f>O30-O31</f>
        <v>10607</v>
      </c>
      <c r="Q31" s="60"/>
      <c r="Z31">
        <v>4414</v>
      </c>
      <c r="AA31">
        <v>5600</v>
      </c>
    </row>
    <row r="32" spans="1:27" ht="21">
      <c r="A32" s="21">
        <v>243831</v>
      </c>
      <c r="B32" s="22" t="s">
        <v>0</v>
      </c>
      <c r="C32" s="12">
        <v>191600</v>
      </c>
      <c r="D32" s="14">
        <v>77952</v>
      </c>
      <c r="E32" s="13">
        <v>24800</v>
      </c>
      <c r="F32" s="14">
        <v>12656</v>
      </c>
      <c r="G32" s="13">
        <v>52800</v>
      </c>
      <c r="H32" s="14">
        <v>14560</v>
      </c>
      <c r="I32" s="17">
        <v>12096</v>
      </c>
      <c r="J32" s="12">
        <v>21984</v>
      </c>
      <c r="K32" s="13">
        <v>31680</v>
      </c>
      <c r="L32" s="16">
        <v>12300</v>
      </c>
      <c r="M32" s="26">
        <v>0</v>
      </c>
      <c r="N32" s="17">
        <v>0</v>
      </c>
      <c r="O32" s="15">
        <f>SUM(C32:N32)</f>
        <v>452428</v>
      </c>
      <c r="P32" s="13" t="s">
        <v>32</v>
      </c>
      <c r="Q32" s="60"/>
      <c r="U32">
        <f>SUM(U27:U31)</f>
        <v>288</v>
      </c>
      <c r="Z32">
        <v>6400</v>
      </c>
      <c r="AA32">
        <v>4800</v>
      </c>
    </row>
    <row r="33" spans="1:27" ht="21">
      <c r="A33" s="30" t="s">
        <v>54</v>
      </c>
      <c r="B33" s="10" t="s">
        <v>1</v>
      </c>
      <c r="C33" s="11">
        <v>161700</v>
      </c>
      <c r="D33" s="19">
        <v>78400</v>
      </c>
      <c r="E33" s="23">
        <v>24800</v>
      </c>
      <c r="F33" s="19">
        <v>12208</v>
      </c>
      <c r="G33" s="23">
        <v>51000</v>
      </c>
      <c r="H33" s="19">
        <v>14448</v>
      </c>
      <c r="I33" s="23">
        <v>13440</v>
      </c>
      <c r="J33" s="11">
        <v>21760</v>
      </c>
      <c r="K33" s="23">
        <v>33752</v>
      </c>
      <c r="L33" s="11">
        <v>13350</v>
      </c>
      <c r="M33" s="49"/>
      <c r="N33" s="23"/>
      <c r="O33" s="28">
        <f>SUM(C33:N33)</f>
        <v>424858</v>
      </c>
      <c r="P33" s="77">
        <f>O32-O33</f>
        <v>27570</v>
      </c>
      <c r="Q33" s="60"/>
      <c r="Z33">
        <v>4414</v>
      </c>
      <c r="AA33">
        <v>5600</v>
      </c>
    </row>
    <row r="34" spans="1:27" ht="21">
      <c r="A34" s="21">
        <v>243862</v>
      </c>
      <c r="B34" s="22" t="s">
        <v>0</v>
      </c>
      <c r="C34" s="12">
        <v>169600</v>
      </c>
      <c r="D34" s="14">
        <v>89824</v>
      </c>
      <c r="E34" s="13">
        <v>24800</v>
      </c>
      <c r="F34" s="14">
        <v>12544</v>
      </c>
      <c r="G34" s="13">
        <v>51300</v>
      </c>
      <c r="H34" s="14">
        <v>10304</v>
      </c>
      <c r="I34" s="17">
        <v>12320</v>
      </c>
      <c r="J34" s="12">
        <v>15232</v>
      </c>
      <c r="K34" s="13">
        <v>31264</v>
      </c>
      <c r="L34" s="16">
        <v>13350</v>
      </c>
      <c r="M34" s="26">
        <v>0</v>
      </c>
      <c r="N34" s="17">
        <v>32232</v>
      </c>
      <c r="O34" s="15">
        <f>SUM(C34:N34)</f>
        <v>462770</v>
      </c>
      <c r="P34" s="15" t="s">
        <v>32</v>
      </c>
      <c r="Q34" s="60"/>
    </row>
    <row r="35" spans="1:27" ht="21">
      <c r="A35" s="8"/>
      <c r="B35" s="4"/>
      <c r="C35" s="16"/>
      <c r="D35" s="18"/>
      <c r="E35" s="17"/>
      <c r="F35" s="18"/>
      <c r="G35" s="17"/>
      <c r="H35" s="18"/>
      <c r="I35" s="17"/>
      <c r="J35" s="16"/>
      <c r="K35" s="17"/>
      <c r="L35" s="16"/>
      <c r="M35" s="26" t="s">
        <v>58</v>
      </c>
      <c r="N35" s="17"/>
      <c r="O35" s="74"/>
      <c r="P35" s="17"/>
      <c r="Q35" s="60"/>
    </row>
    <row r="36" spans="1:27" ht="27" customHeight="1">
      <c r="A36" s="30" t="s">
        <v>56</v>
      </c>
      <c r="B36" s="10" t="s">
        <v>1</v>
      </c>
      <c r="C36" s="11">
        <v>153950</v>
      </c>
      <c r="D36" s="19">
        <v>87500</v>
      </c>
      <c r="E36" s="23">
        <v>24800</v>
      </c>
      <c r="F36" s="19">
        <v>12096</v>
      </c>
      <c r="G36" s="23">
        <v>51000</v>
      </c>
      <c r="H36" s="19">
        <v>10864</v>
      </c>
      <c r="I36" s="23">
        <v>12992</v>
      </c>
      <c r="J36" s="11">
        <v>15232</v>
      </c>
      <c r="K36" s="23">
        <v>30964</v>
      </c>
      <c r="L36" s="11">
        <v>13350</v>
      </c>
      <c r="M36" s="49">
        <v>1225</v>
      </c>
      <c r="N36" s="23">
        <v>29082</v>
      </c>
      <c r="O36" s="28">
        <f t="shared" ref="O36" si="3">SUM(C36:N36)</f>
        <v>443055</v>
      </c>
      <c r="P36" s="77">
        <f>O34-O36</f>
        <v>19715</v>
      </c>
      <c r="Q36" s="60"/>
      <c r="T36">
        <v>3136</v>
      </c>
    </row>
    <row r="37" spans="1:27" ht="21">
      <c r="A37" s="21">
        <v>243892</v>
      </c>
      <c r="B37" s="22" t="s">
        <v>0</v>
      </c>
      <c r="C37" s="12">
        <v>148400</v>
      </c>
      <c r="D37" s="14">
        <v>74592</v>
      </c>
      <c r="E37" s="13">
        <v>24800</v>
      </c>
      <c r="F37" s="14">
        <v>14224</v>
      </c>
      <c r="G37" s="13">
        <v>55500</v>
      </c>
      <c r="H37" s="14">
        <v>13216</v>
      </c>
      <c r="I37" s="17">
        <v>10528</v>
      </c>
      <c r="J37" s="12">
        <v>18704</v>
      </c>
      <c r="K37" s="13">
        <v>31216</v>
      </c>
      <c r="L37" s="16">
        <v>12300</v>
      </c>
      <c r="M37" s="26">
        <v>0</v>
      </c>
      <c r="N37" s="17">
        <v>29805</v>
      </c>
      <c r="O37" s="15">
        <f>SUM(C37:N37)</f>
        <v>433285</v>
      </c>
      <c r="P37" s="15" t="s">
        <v>32</v>
      </c>
      <c r="Q37" s="60"/>
      <c r="T37">
        <v>3136</v>
      </c>
    </row>
    <row r="38" spans="1:27" ht="21">
      <c r="A38" s="8"/>
      <c r="B38" s="4"/>
      <c r="C38" s="16"/>
      <c r="D38" s="18"/>
      <c r="E38" s="17"/>
      <c r="F38" s="18"/>
      <c r="G38" s="17"/>
      <c r="H38" s="18"/>
      <c r="I38" s="17"/>
      <c r="J38" s="16"/>
      <c r="K38" s="17"/>
      <c r="L38" s="16"/>
      <c r="M38" s="26" t="s">
        <v>60</v>
      </c>
      <c r="N38" s="17"/>
      <c r="O38" s="74"/>
      <c r="P38" s="17"/>
      <c r="Q38" s="60"/>
    </row>
    <row r="39" spans="1:27" ht="25.5" customHeight="1">
      <c r="A39" s="30" t="s">
        <v>57</v>
      </c>
      <c r="B39" s="10" t="s">
        <v>1</v>
      </c>
      <c r="C39" s="11">
        <v>138400</v>
      </c>
      <c r="D39" s="19">
        <v>73920</v>
      </c>
      <c r="E39" s="23">
        <v>24800</v>
      </c>
      <c r="F39" s="19">
        <v>15120</v>
      </c>
      <c r="G39" s="23">
        <v>53400</v>
      </c>
      <c r="H39" s="19">
        <v>12768</v>
      </c>
      <c r="I39" s="23">
        <v>10976</v>
      </c>
      <c r="J39" s="11">
        <v>16784</v>
      </c>
      <c r="K39" s="23">
        <v>31216</v>
      </c>
      <c r="L39" s="11">
        <v>12300</v>
      </c>
      <c r="M39" s="49">
        <v>8496</v>
      </c>
      <c r="N39" s="23">
        <v>29082</v>
      </c>
      <c r="O39" s="28">
        <f>SUM(C39:N39)</f>
        <v>427262</v>
      </c>
      <c r="P39" s="77">
        <f>O37-O39</f>
        <v>6023</v>
      </c>
      <c r="Q39" s="60"/>
      <c r="T39">
        <v>2688</v>
      </c>
    </row>
    <row r="40" spans="1:27" ht="27.75" customHeight="1">
      <c r="A40" s="21">
        <v>243923</v>
      </c>
      <c r="B40" s="22" t="s">
        <v>0</v>
      </c>
      <c r="C40" s="12">
        <v>158000</v>
      </c>
      <c r="D40" s="14">
        <v>58912</v>
      </c>
      <c r="E40" s="13">
        <v>24800</v>
      </c>
      <c r="F40" s="14">
        <v>13664</v>
      </c>
      <c r="G40" s="13">
        <v>52950</v>
      </c>
      <c r="H40" s="14">
        <v>12656</v>
      </c>
      <c r="I40" s="17">
        <v>12992</v>
      </c>
      <c r="J40" s="12">
        <v>19104</v>
      </c>
      <c r="K40" s="13">
        <v>32064</v>
      </c>
      <c r="L40" s="16">
        <v>12750</v>
      </c>
      <c r="M40" s="26">
        <v>0</v>
      </c>
      <c r="N40" s="17">
        <v>30609</v>
      </c>
      <c r="O40" s="17">
        <f>SUM(C40:N40)</f>
        <v>428501</v>
      </c>
      <c r="P40" s="15" t="s">
        <v>31</v>
      </c>
      <c r="Q40" s="60"/>
    </row>
    <row r="41" spans="1:27" ht="30" customHeight="1">
      <c r="A41" s="30" t="s">
        <v>59</v>
      </c>
      <c r="B41" s="10" t="s">
        <v>1</v>
      </c>
      <c r="C41" s="11">
        <v>160900</v>
      </c>
      <c r="D41" s="19">
        <v>71904</v>
      </c>
      <c r="E41" s="23">
        <v>24800</v>
      </c>
      <c r="F41" s="19">
        <v>16520</v>
      </c>
      <c r="G41" s="23">
        <v>54150</v>
      </c>
      <c r="H41" s="19">
        <v>12320</v>
      </c>
      <c r="I41" s="23">
        <v>12992</v>
      </c>
      <c r="J41" s="11">
        <v>23856</v>
      </c>
      <c r="K41" s="23">
        <v>30206</v>
      </c>
      <c r="L41" s="11">
        <v>11400</v>
      </c>
      <c r="M41" s="49"/>
      <c r="N41" s="23">
        <v>29893</v>
      </c>
      <c r="O41" s="23">
        <f>SUM(C41:N41)</f>
        <v>448941</v>
      </c>
      <c r="P41" s="89">
        <f>O41-O40</f>
        <v>20440</v>
      </c>
      <c r="Q41" s="60"/>
    </row>
    <row r="42" spans="1:27" ht="30" customHeight="1">
      <c r="A42" s="21">
        <v>243953</v>
      </c>
      <c r="B42" s="22" t="s">
        <v>0</v>
      </c>
      <c r="C42" s="12">
        <v>170000</v>
      </c>
      <c r="D42" s="14">
        <v>84448</v>
      </c>
      <c r="E42" s="13">
        <v>24000</v>
      </c>
      <c r="F42" s="14">
        <v>13608</v>
      </c>
      <c r="G42" s="13">
        <v>51600</v>
      </c>
      <c r="H42" s="14">
        <v>12768</v>
      </c>
      <c r="I42" s="17">
        <v>12544</v>
      </c>
      <c r="J42" s="12">
        <v>16560</v>
      </c>
      <c r="K42" s="13">
        <v>30272</v>
      </c>
      <c r="L42" s="16">
        <v>14700</v>
      </c>
      <c r="M42" s="26"/>
      <c r="N42" s="17">
        <v>24960</v>
      </c>
      <c r="O42" s="15">
        <f>SUM(C42:N42)</f>
        <v>455460</v>
      </c>
      <c r="P42" s="15"/>
      <c r="Q42" s="60"/>
    </row>
    <row r="43" spans="1:27" ht="30" customHeight="1">
      <c r="A43" s="8"/>
      <c r="B43" s="4"/>
      <c r="C43" s="16"/>
      <c r="D43" s="18"/>
      <c r="E43" s="17"/>
      <c r="F43" s="18"/>
      <c r="G43" s="17"/>
      <c r="H43" s="18"/>
      <c r="I43" s="17"/>
      <c r="J43" s="16"/>
      <c r="K43" s="17"/>
      <c r="L43" s="16"/>
      <c r="M43" s="26" t="s">
        <v>63</v>
      </c>
      <c r="N43" s="17"/>
      <c r="O43" s="74"/>
      <c r="P43" s="15" t="s">
        <v>32</v>
      </c>
      <c r="Q43" s="60"/>
    </row>
    <row r="44" spans="1:27" ht="30" customHeight="1">
      <c r="A44" s="30" t="s">
        <v>62</v>
      </c>
      <c r="B44" s="10" t="s">
        <v>1</v>
      </c>
      <c r="C44" s="11">
        <v>141900</v>
      </c>
      <c r="D44" s="86">
        <v>86408</v>
      </c>
      <c r="E44" s="23">
        <v>24000</v>
      </c>
      <c r="F44" s="19">
        <v>13608</v>
      </c>
      <c r="G44" s="23">
        <v>51300</v>
      </c>
      <c r="H44" s="86">
        <v>13440</v>
      </c>
      <c r="I44" s="23">
        <v>12544</v>
      </c>
      <c r="J44" s="88">
        <v>17660</v>
      </c>
      <c r="K44" s="87">
        <v>31384</v>
      </c>
      <c r="L44" s="11">
        <v>14700</v>
      </c>
      <c r="M44" s="49">
        <v>1555</v>
      </c>
      <c r="N44" s="23">
        <v>26472</v>
      </c>
      <c r="O44" s="28">
        <f>SUM(C44:N44)</f>
        <v>434971</v>
      </c>
      <c r="P44" s="77">
        <f>O42-O44</f>
        <v>20489</v>
      </c>
      <c r="Q44" s="60"/>
    </row>
    <row r="45" spans="1:27" ht="30" customHeight="1">
      <c r="A45" s="91" t="s">
        <v>96</v>
      </c>
      <c r="B45" s="4"/>
      <c r="C45" s="18"/>
      <c r="D45" s="92"/>
      <c r="E45" s="18"/>
      <c r="F45" s="18"/>
      <c r="G45" s="18"/>
      <c r="H45" s="92"/>
      <c r="I45" s="18"/>
      <c r="J45" s="92"/>
      <c r="K45" s="92"/>
      <c r="L45" s="18"/>
      <c r="M45" s="26"/>
      <c r="N45" s="18"/>
      <c r="O45" s="18"/>
      <c r="P45" s="93"/>
      <c r="Q45" s="60"/>
    </row>
    <row r="46" spans="1:27" ht="37.5" customHeight="1">
      <c r="A46" s="176"/>
      <c r="B46" s="176"/>
      <c r="C46" s="176"/>
      <c r="D46" s="176"/>
      <c r="E46" s="176"/>
      <c r="F46" s="85"/>
    </row>
    <row r="47" spans="1:27" ht="21.75" customHeight="1"/>
    <row r="48" spans="1:27" s="51" customFormat="1" ht="27" customHeight="1">
      <c r="A48" s="172" t="s">
        <v>27</v>
      </c>
      <c r="B48" s="172"/>
      <c r="C48" s="172"/>
      <c r="D48" s="172"/>
      <c r="E48" s="52"/>
      <c r="F48" s="52"/>
      <c r="G48" s="52"/>
      <c r="H48" s="172" t="s">
        <v>37</v>
      </c>
      <c r="I48" s="172"/>
      <c r="J48" s="172"/>
      <c r="K48" s="52"/>
      <c r="L48" s="172" t="s">
        <v>61</v>
      </c>
      <c r="M48" s="172"/>
      <c r="N48" s="172"/>
      <c r="O48" s="172"/>
      <c r="P48" s="172"/>
      <c r="Z48" s="51">
        <v>2240</v>
      </c>
      <c r="AA48" s="51">
        <v>3360</v>
      </c>
    </row>
    <row r="49" spans="1:27" s="51" customFormat="1" ht="23.25">
      <c r="A49" s="162" t="s">
        <v>28</v>
      </c>
      <c r="B49" s="162"/>
      <c r="C49" s="162"/>
      <c r="D49" s="162"/>
      <c r="E49" s="52"/>
      <c r="F49" s="52"/>
      <c r="G49" s="52"/>
      <c r="H49" s="162" t="s">
        <v>29</v>
      </c>
      <c r="I49" s="162"/>
      <c r="J49" s="162"/>
      <c r="K49" s="52"/>
      <c r="L49" s="163" t="s">
        <v>30</v>
      </c>
      <c r="M49" s="163"/>
      <c r="N49" s="163"/>
      <c r="O49" s="163"/>
      <c r="P49" s="163"/>
      <c r="Z49" s="51">
        <f>SUM(Z29:Z48)</f>
        <v>28668</v>
      </c>
      <c r="AA49" s="51">
        <v>3360</v>
      </c>
    </row>
    <row r="50" spans="1:27">
      <c r="AA50">
        <v>3360</v>
      </c>
    </row>
    <row r="51" spans="1:27">
      <c r="AA51">
        <f>SUM(AA29:AA50)</f>
        <v>36480</v>
      </c>
    </row>
    <row r="52" spans="1:27">
      <c r="X52" s="82">
        <f>Z49-J28</f>
        <v>13732</v>
      </c>
    </row>
  </sheetData>
  <mergeCells count="14">
    <mergeCell ref="Q2:Q3"/>
    <mergeCell ref="A49:D49"/>
    <mergeCell ref="H49:J49"/>
    <mergeCell ref="L49:P49"/>
    <mergeCell ref="C2:E2"/>
    <mergeCell ref="F2:G2"/>
    <mergeCell ref="J2:K2"/>
    <mergeCell ref="P2:P3"/>
    <mergeCell ref="A13:B13"/>
    <mergeCell ref="A48:D48"/>
    <mergeCell ref="H48:J48"/>
    <mergeCell ref="L48:P48"/>
    <mergeCell ref="L2:N2"/>
    <mergeCell ref="A46:E46"/>
  </mergeCells>
  <phoneticPr fontId="15" type="noConversion"/>
  <printOptions horizontalCentered="1"/>
  <pageMargins left="0" right="0" top="0" bottom="0" header="0.31496062992125984" footer="0.31496062992125984"/>
  <pageSetup paperSize="9" scale="66" orientation="landscape" r:id="rId1"/>
  <rowBreaks count="1" manualBreakCount="1">
    <brk id="49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25"/>
  <sheetViews>
    <sheetView zoomScaleNormal="100" workbookViewId="0">
      <selection activeCell="O15" sqref="O15"/>
    </sheetView>
  </sheetViews>
  <sheetFormatPr defaultRowHeight="15"/>
  <cols>
    <col min="1" max="1" width="14" customWidth="1"/>
    <col min="3" max="3" width="13.42578125" bestFit="1" customWidth="1"/>
    <col min="4" max="4" width="13.42578125" customWidth="1"/>
    <col min="5" max="5" width="15.140625" bestFit="1" customWidth="1"/>
    <col min="6" max="6" width="16.140625" bestFit="1" customWidth="1"/>
    <col min="7" max="7" width="20.5703125" bestFit="1" customWidth="1"/>
    <col min="8" max="8" width="14.85546875" customWidth="1"/>
    <col min="9" max="9" width="13.140625" customWidth="1"/>
    <col min="13" max="13" width="12.28515625" bestFit="1" customWidth="1"/>
    <col min="14" max="14" width="13" customWidth="1"/>
    <col min="22" max="22" width="10.5703125" bestFit="1" customWidth="1"/>
  </cols>
  <sheetData>
    <row r="2" spans="1:20" ht="23.25">
      <c r="A2" s="51"/>
      <c r="B2" s="83"/>
      <c r="C2" s="83" t="s">
        <v>39</v>
      </c>
      <c r="D2" s="83" t="s">
        <v>73</v>
      </c>
      <c r="E2" s="83" t="s">
        <v>40</v>
      </c>
      <c r="F2" s="83" t="s">
        <v>73</v>
      </c>
      <c r="G2" s="83" t="s">
        <v>75</v>
      </c>
      <c r="H2" s="83" t="s">
        <v>35</v>
      </c>
      <c r="I2" s="83" t="s">
        <v>33</v>
      </c>
      <c r="J2" s="83" t="s">
        <v>8</v>
      </c>
      <c r="K2" s="83" t="s">
        <v>34</v>
      </c>
      <c r="L2" s="51"/>
      <c r="M2" s="51" t="s">
        <v>60</v>
      </c>
    </row>
    <row r="3" spans="1:20" ht="23.25">
      <c r="A3" s="51"/>
      <c r="B3" s="51" t="s">
        <v>26</v>
      </c>
      <c r="C3" s="119">
        <v>59200</v>
      </c>
      <c r="D3" s="119"/>
      <c r="E3" s="119"/>
      <c r="F3" s="119"/>
      <c r="G3" s="56">
        <v>52300</v>
      </c>
      <c r="H3" s="56"/>
      <c r="I3" s="56">
        <v>12600</v>
      </c>
      <c r="J3" s="56"/>
      <c r="K3" s="56">
        <v>0</v>
      </c>
      <c r="L3" s="57">
        <f>SUM(C3:K3)</f>
        <v>124100</v>
      </c>
      <c r="M3" s="56"/>
      <c r="N3" s="78">
        <f>L3-M3-D3-F3</f>
        <v>124100</v>
      </c>
      <c r="R3">
        <v>345</v>
      </c>
    </row>
    <row r="4" spans="1:20" ht="23.25">
      <c r="A4" s="51"/>
      <c r="B4" s="51" t="s">
        <v>17</v>
      </c>
      <c r="C4" s="56">
        <v>38080</v>
      </c>
      <c r="D4" s="56"/>
      <c r="E4" s="56"/>
      <c r="F4" s="56"/>
      <c r="G4" s="56">
        <v>32144</v>
      </c>
      <c r="H4" s="56"/>
      <c r="I4" s="56">
        <v>5712</v>
      </c>
      <c r="J4" s="56"/>
      <c r="K4" s="56">
        <v>0</v>
      </c>
      <c r="L4" s="57">
        <f>SUM(C4:K4)</f>
        <v>75936</v>
      </c>
      <c r="M4" s="56"/>
      <c r="N4" s="78">
        <f>L4-M4</f>
        <v>75936</v>
      </c>
      <c r="R4">
        <v>378</v>
      </c>
    </row>
    <row r="5" spans="1:20" ht="23.25">
      <c r="A5" s="51"/>
      <c r="B5" s="51"/>
      <c r="C5" s="56">
        <f t="shared" ref="C5:M5" si="0">SUM(C3:C4)</f>
        <v>97280</v>
      </c>
      <c r="D5" s="56">
        <f t="shared" si="0"/>
        <v>0</v>
      </c>
      <c r="E5" s="56">
        <f t="shared" si="0"/>
        <v>0</v>
      </c>
      <c r="F5" s="56">
        <f t="shared" si="0"/>
        <v>0</v>
      </c>
      <c r="G5" s="56">
        <f t="shared" si="0"/>
        <v>84444</v>
      </c>
      <c r="H5" s="56"/>
      <c r="I5" s="56">
        <f t="shared" si="0"/>
        <v>18312</v>
      </c>
      <c r="J5" s="56">
        <f t="shared" si="0"/>
        <v>0</v>
      </c>
      <c r="K5" s="56">
        <f t="shared" si="0"/>
        <v>0</v>
      </c>
      <c r="L5" s="84">
        <f t="shared" si="0"/>
        <v>200036</v>
      </c>
      <c r="M5" s="84">
        <f t="shared" si="0"/>
        <v>0</v>
      </c>
      <c r="R5">
        <v>378</v>
      </c>
    </row>
    <row r="6" spans="1:20" ht="21">
      <c r="B6" s="177" t="s">
        <v>10</v>
      </c>
      <c r="C6" s="177"/>
      <c r="D6" s="177" t="s">
        <v>80</v>
      </c>
      <c r="E6" s="177"/>
      <c r="F6" s="177" t="s">
        <v>83</v>
      </c>
      <c r="G6" s="177"/>
      <c r="H6" s="178" t="s">
        <v>88</v>
      </c>
      <c r="I6" s="178" t="s">
        <v>89</v>
      </c>
      <c r="J6" s="105"/>
      <c r="K6" s="105"/>
      <c r="L6" s="105"/>
      <c r="M6" s="105"/>
      <c r="N6" s="105"/>
    </row>
    <row r="7" spans="1:20" ht="21">
      <c r="A7" s="120"/>
      <c r="B7" s="124" t="s">
        <v>77</v>
      </c>
      <c r="C7" s="124" t="s">
        <v>79</v>
      </c>
      <c r="D7" s="124" t="s">
        <v>81</v>
      </c>
      <c r="E7" s="124" t="s">
        <v>82</v>
      </c>
      <c r="F7" s="124" t="s">
        <v>84</v>
      </c>
      <c r="G7" s="124" t="s">
        <v>85</v>
      </c>
      <c r="H7" s="178"/>
      <c r="I7" s="178"/>
      <c r="J7" s="122"/>
      <c r="K7" s="122"/>
      <c r="L7" s="122"/>
      <c r="M7" s="122">
        <v>5376</v>
      </c>
      <c r="N7" s="122"/>
    </row>
    <row r="8" spans="1:20" ht="23.25">
      <c r="A8" s="120" t="s">
        <v>76</v>
      </c>
      <c r="B8" s="123" t="s">
        <v>87</v>
      </c>
      <c r="C8" s="56">
        <v>3</v>
      </c>
      <c r="D8" s="56">
        <v>2</v>
      </c>
      <c r="E8" s="56">
        <v>2</v>
      </c>
      <c r="F8" s="56">
        <v>2</v>
      </c>
      <c r="G8" s="123" t="s">
        <v>87</v>
      </c>
      <c r="H8" s="123" t="s">
        <v>87</v>
      </c>
      <c r="I8" s="123" t="s">
        <v>87</v>
      </c>
    </row>
    <row r="9" spans="1:20" ht="23.25">
      <c r="A9" s="120" t="s">
        <v>86</v>
      </c>
      <c r="B9" s="123" t="s">
        <v>87</v>
      </c>
      <c r="C9" s="123" t="s">
        <v>87</v>
      </c>
      <c r="D9" s="56">
        <v>0</v>
      </c>
      <c r="E9" s="56">
        <v>1</v>
      </c>
      <c r="F9" s="56">
        <v>2</v>
      </c>
      <c r="G9" s="123" t="s">
        <v>87</v>
      </c>
      <c r="H9" s="125">
        <v>2</v>
      </c>
      <c r="I9" s="123" t="s">
        <v>91</v>
      </c>
    </row>
    <row r="10" spans="1:20" ht="23.25">
      <c r="A10" s="121" t="s">
        <v>90</v>
      </c>
      <c r="B10" s="56">
        <v>1</v>
      </c>
      <c r="C10" s="56">
        <v>1</v>
      </c>
      <c r="D10" s="56">
        <v>0</v>
      </c>
      <c r="E10" s="56">
        <v>0</v>
      </c>
      <c r="F10" s="56">
        <v>1</v>
      </c>
      <c r="G10" s="56">
        <v>0</v>
      </c>
      <c r="H10" s="125">
        <v>1</v>
      </c>
      <c r="I10" s="56">
        <v>1</v>
      </c>
    </row>
    <row r="11" spans="1:20" ht="23.25">
      <c r="A11" s="121" t="s">
        <v>78</v>
      </c>
      <c r="B11" s="56">
        <v>0</v>
      </c>
      <c r="C11" s="56">
        <v>1</v>
      </c>
      <c r="D11" s="56">
        <v>0</v>
      </c>
      <c r="E11" s="56">
        <v>0</v>
      </c>
      <c r="F11" s="56">
        <v>1</v>
      </c>
      <c r="G11" s="56">
        <v>0</v>
      </c>
      <c r="H11" s="125">
        <v>1</v>
      </c>
      <c r="I11" s="56">
        <v>1</v>
      </c>
    </row>
    <row r="12" spans="1:20" ht="23.25">
      <c r="A12" s="53"/>
      <c r="C12" s="51"/>
      <c r="D12" s="51"/>
    </row>
    <row r="13" spans="1:20" ht="23.25">
      <c r="A13" s="53"/>
      <c r="B13" s="51" t="s">
        <v>110</v>
      </c>
      <c r="D13" t="s">
        <v>80</v>
      </c>
      <c r="F13" t="s">
        <v>112</v>
      </c>
      <c r="H13" t="s">
        <v>111</v>
      </c>
    </row>
    <row r="14" spans="1:20" ht="23.25">
      <c r="A14" s="54"/>
      <c r="B14" s="51"/>
      <c r="C14">
        <f>B14*150</f>
        <v>0</v>
      </c>
      <c r="D14" s="56">
        <v>108</v>
      </c>
      <c r="E14">
        <f>D14*100</f>
        <v>10800</v>
      </c>
      <c r="F14" s="56">
        <v>32</v>
      </c>
      <c r="G14">
        <f>F14*140</f>
        <v>4480</v>
      </c>
      <c r="H14" s="125">
        <v>176</v>
      </c>
      <c r="I14">
        <f>H14*100</f>
        <v>17600</v>
      </c>
    </row>
    <row r="15" spans="1:20" ht="23.25">
      <c r="C15">
        <f>B15*150</f>
        <v>0</v>
      </c>
      <c r="D15" s="56">
        <v>108</v>
      </c>
      <c r="E15">
        <f>D15*56</f>
        <v>6048</v>
      </c>
      <c r="F15" s="56"/>
      <c r="G15">
        <f>F15*56</f>
        <v>0</v>
      </c>
      <c r="H15" s="125">
        <v>104</v>
      </c>
      <c r="I15">
        <f>H15*56</f>
        <v>5824</v>
      </c>
    </row>
    <row r="16" spans="1:20">
      <c r="C16">
        <f>B16*56</f>
        <v>0</v>
      </c>
      <c r="P16">
        <v>44</v>
      </c>
      <c r="Q16">
        <v>44</v>
      </c>
      <c r="T16">
        <v>5600</v>
      </c>
    </row>
    <row r="17" spans="3:26">
      <c r="C17">
        <f>SUM(C14:C16)</f>
        <v>0</v>
      </c>
      <c r="E17">
        <f>SUM(E14:E16)</f>
        <v>16848</v>
      </c>
      <c r="G17">
        <f>SUM(G14:G16)</f>
        <v>4480</v>
      </c>
      <c r="I17">
        <f>SUM(I14:I16)</f>
        <v>23424</v>
      </c>
      <c r="P17">
        <v>48</v>
      </c>
      <c r="Q17">
        <v>56</v>
      </c>
    </row>
    <row r="18" spans="3:26">
      <c r="P18">
        <v>28</v>
      </c>
      <c r="Q18">
        <v>56</v>
      </c>
    </row>
    <row r="19" spans="3:26">
      <c r="P19">
        <v>44</v>
      </c>
    </row>
    <row r="20" spans="3:26">
      <c r="Z20">
        <v>64</v>
      </c>
    </row>
    <row r="21" spans="3:26">
      <c r="P21">
        <f>SUM(P16:P20)</f>
        <v>164</v>
      </c>
      <c r="Q21">
        <f>SUM(Q16:Q20)</f>
        <v>156</v>
      </c>
      <c r="Z21">
        <v>44</v>
      </c>
    </row>
    <row r="22" spans="3:26">
      <c r="P22">
        <f>P21*100</f>
        <v>16400</v>
      </c>
      <c r="Q22">
        <f>Q21*56</f>
        <v>8736</v>
      </c>
      <c r="Z22">
        <v>56</v>
      </c>
    </row>
    <row r="23" spans="3:26">
      <c r="Z23">
        <v>56</v>
      </c>
    </row>
    <row r="24" spans="3:26">
      <c r="V24" s="66"/>
      <c r="Z24">
        <f>SUM(Z20:Z23)</f>
        <v>220</v>
      </c>
    </row>
    <row r="25" spans="3:26">
      <c r="Z25">
        <f>Z24*56</f>
        <v>12320</v>
      </c>
    </row>
  </sheetData>
  <mergeCells count="5">
    <mergeCell ref="B6:C6"/>
    <mergeCell ref="D6:E6"/>
    <mergeCell ref="F6:G6"/>
    <mergeCell ref="H6:H7"/>
    <mergeCell ref="I6:I7"/>
  </mergeCells>
  <pageMargins left="0" right="0" top="0.74803149606299213" bottom="0.74803149606299213" header="0.31496062992125984" footer="0.31496062992125984"/>
  <pageSetup paperSize="9" scale="75" orientation="landscape" r:id="rId1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F306-9F2E-47C4-AD4C-F8A5C9FED599}">
  <dimension ref="A1:Z41"/>
  <sheetViews>
    <sheetView topLeftCell="A10" workbookViewId="0">
      <selection activeCell="H30" sqref="H30"/>
    </sheetView>
  </sheetViews>
  <sheetFormatPr defaultRowHeight="15"/>
  <cols>
    <col min="1" max="21" width="9.42578125" customWidth="1"/>
  </cols>
  <sheetData>
    <row r="1" spans="1:26" ht="23.25">
      <c r="A1" s="179" t="s">
        <v>65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</row>
    <row r="2" spans="1:26" ht="21">
      <c r="A2" s="95"/>
      <c r="B2" s="94"/>
      <c r="C2" s="184" t="s">
        <v>9</v>
      </c>
      <c r="D2" s="185"/>
      <c r="E2" s="185"/>
      <c r="F2" s="186"/>
      <c r="G2" s="187" t="s">
        <v>10</v>
      </c>
      <c r="H2" s="181"/>
      <c r="I2" s="180" t="s">
        <v>36</v>
      </c>
      <c r="J2" s="181"/>
      <c r="K2" s="180" t="s">
        <v>11</v>
      </c>
      <c r="L2" s="187"/>
      <c r="M2" s="188" t="s">
        <v>12</v>
      </c>
      <c r="N2" s="189"/>
      <c r="O2" s="189"/>
      <c r="P2" s="190"/>
      <c r="Q2" s="182" t="s">
        <v>67</v>
      </c>
      <c r="R2" s="182" t="s">
        <v>60</v>
      </c>
      <c r="S2" s="110" t="s">
        <v>13</v>
      </c>
      <c r="T2" s="191" t="s">
        <v>46</v>
      </c>
    </row>
    <row r="3" spans="1:26" ht="21">
      <c r="A3" s="101"/>
      <c r="B3" s="100"/>
      <c r="C3" s="97" t="s">
        <v>14</v>
      </c>
      <c r="D3" s="98" t="s">
        <v>15</v>
      </c>
      <c r="E3" s="98" t="s">
        <v>74</v>
      </c>
      <c r="F3" s="99" t="s">
        <v>16</v>
      </c>
      <c r="G3" s="96" t="s">
        <v>17</v>
      </c>
      <c r="H3" s="100" t="s">
        <v>18</v>
      </c>
      <c r="I3" s="96" t="s">
        <v>19</v>
      </c>
      <c r="J3" s="96" t="s">
        <v>20</v>
      </c>
      <c r="K3" s="101" t="s">
        <v>21</v>
      </c>
      <c r="L3" s="96" t="s">
        <v>22</v>
      </c>
      <c r="M3" s="102" t="s">
        <v>24</v>
      </c>
      <c r="N3" s="103" t="s">
        <v>12</v>
      </c>
      <c r="O3" s="103" t="s">
        <v>66</v>
      </c>
      <c r="P3" s="130" t="s">
        <v>44</v>
      </c>
      <c r="Q3" s="183"/>
      <c r="R3" s="183"/>
      <c r="S3" s="111" t="s">
        <v>23</v>
      </c>
      <c r="T3" s="192"/>
    </row>
    <row r="4" spans="1:26" ht="21">
      <c r="A4" s="113">
        <v>243984</v>
      </c>
      <c r="B4" s="34" t="s">
        <v>0</v>
      </c>
      <c r="C4" s="16">
        <v>159200</v>
      </c>
      <c r="D4" s="18">
        <v>84448</v>
      </c>
      <c r="E4" s="18">
        <v>0</v>
      </c>
      <c r="F4" s="17">
        <v>13600</v>
      </c>
      <c r="G4" s="16">
        <v>13832</v>
      </c>
      <c r="H4" s="17">
        <v>55200</v>
      </c>
      <c r="I4" s="16">
        <v>16912</v>
      </c>
      <c r="J4" s="17">
        <v>11704</v>
      </c>
      <c r="K4" s="16">
        <v>12960</v>
      </c>
      <c r="L4" s="17">
        <v>29408</v>
      </c>
      <c r="M4" s="74">
        <v>10350</v>
      </c>
      <c r="N4" s="106" t="s">
        <v>70</v>
      </c>
      <c r="O4" s="127">
        <v>8600</v>
      </c>
      <c r="P4" s="106" t="s">
        <v>70</v>
      </c>
      <c r="Q4" s="106" t="s">
        <v>70</v>
      </c>
      <c r="R4" s="106" t="s">
        <v>70</v>
      </c>
      <c r="S4" s="109">
        <f t="shared" ref="S4:S20" si="0">SUM(C4:R4)</f>
        <v>416214</v>
      </c>
      <c r="T4" s="106"/>
    </row>
    <row r="5" spans="1:26" ht="21">
      <c r="A5" s="104" t="s">
        <v>68</v>
      </c>
      <c r="B5" s="90" t="s">
        <v>1</v>
      </c>
      <c r="C5" s="11">
        <v>132400</v>
      </c>
      <c r="D5" s="19">
        <v>76412</v>
      </c>
      <c r="E5" s="19">
        <v>0</v>
      </c>
      <c r="F5" s="23">
        <v>13600</v>
      </c>
      <c r="G5" s="11">
        <v>13832</v>
      </c>
      <c r="H5" s="23">
        <v>54000</v>
      </c>
      <c r="I5" s="11">
        <v>16912</v>
      </c>
      <c r="J5" s="23">
        <v>11872</v>
      </c>
      <c r="K5" s="11">
        <v>9836</v>
      </c>
      <c r="L5" s="23">
        <v>32304</v>
      </c>
      <c r="M5" s="28">
        <v>10200</v>
      </c>
      <c r="N5" s="107" t="s">
        <v>70</v>
      </c>
      <c r="O5" s="128">
        <v>22140</v>
      </c>
      <c r="P5" s="107" t="s">
        <v>70</v>
      </c>
      <c r="Q5" s="129">
        <v>3257</v>
      </c>
      <c r="R5" s="114">
        <v>11806</v>
      </c>
      <c r="S5" s="109">
        <f t="shared" si="0"/>
        <v>408571</v>
      </c>
      <c r="T5" s="115">
        <f>S4-S5</f>
        <v>7643</v>
      </c>
      <c r="U5" t="s">
        <v>71</v>
      </c>
    </row>
    <row r="6" spans="1:26" ht="21">
      <c r="A6" s="112">
        <v>24869</v>
      </c>
      <c r="B6" s="35" t="s">
        <v>0</v>
      </c>
      <c r="C6" s="16">
        <v>174400</v>
      </c>
      <c r="D6" s="18">
        <v>84896</v>
      </c>
      <c r="E6" s="18">
        <v>0</v>
      </c>
      <c r="F6" s="17">
        <v>12800</v>
      </c>
      <c r="G6" s="16">
        <v>13776</v>
      </c>
      <c r="H6" s="17">
        <v>54900</v>
      </c>
      <c r="I6" s="16">
        <v>16520</v>
      </c>
      <c r="J6" s="17">
        <v>12992</v>
      </c>
      <c r="K6" s="16">
        <v>9856</v>
      </c>
      <c r="L6" s="17">
        <v>27680</v>
      </c>
      <c r="M6" s="74">
        <v>10200</v>
      </c>
      <c r="N6" s="106" t="s">
        <v>70</v>
      </c>
      <c r="O6" s="108">
        <v>25840</v>
      </c>
      <c r="P6" s="131" t="s">
        <v>70</v>
      </c>
      <c r="Q6" s="106" t="s">
        <v>70</v>
      </c>
      <c r="R6" s="106" t="s">
        <v>70</v>
      </c>
      <c r="S6" s="109">
        <f t="shared" si="0"/>
        <v>443860</v>
      </c>
      <c r="T6" s="116"/>
    </row>
    <row r="7" spans="1:26" ht="21">
      <c r="A7" s="104" t="s">
        <v>69</v>
      </c>
      <c r="B7" s="90" t="s">
        <v>1</v>
      </c>
      <c r="C7" s="11">
        <v>144500</v>
      </c>
      <c r="D7" s="19">
        <v>91196</v>
      </c>
      <c r="E7" s="19">
        <v>0</v>
      </c>
      <c r="F7" s="23">
        <v>12800</v>
      </c>
      <c r="G7" s="11">
        <v>13664</v>
      </c>
      <c r="H7" s="23">
        <v>49650</v>
      </c>
      <c r="I7" s="11">
        <v>16968</v>
      </c>
      <c r="J7" s="23">
        <v>12992</v>
      </c>
      <c r="K7" s="11">
        <v>8520</v>
      </c>
      <c r="L7" s="23">
        <v>26460</v>
      </c>
      <c r="M7" s="28">
        <v>10800</v>
      </c>
      <c r="N7" s="107" t="s">
        <v>70</v>
      </c>
      <c r="O7" s="114">
        <v>28600</v>
      </c>
      <c r="P7" s="107" t="s">
        <v>70</v>
      </c>
      <c r="Q7" s="107" t="s">
        <v>70</v>
      </c>
      <c r="R7" s="107" t="s">
        <v>70</v>
      </c>
      <c r="S7" s="118">
        <f t="shared" si="0"/>
        <v>416150</v>
      </c>
      <c r="T7" s="115">
        <f>S6-S7</f>
        <v>27710</v>
      </c>
      <c r="U7" t="s">
        <v>71</v>
      </c>
    </row>
    <row r="8" spans="1:26" ht="21">
      <c r="A8" s="112">
        <v>24898</v>
      </c>
      <c r="B8" s="35" t="s">
        <v>0</v>
      </c>
      <c r="C8" s="16">
        <v>132400</v>
      </c>
      <c r="D8" s="18">
        <v>68992</v>
      </c>
      <c r="E8" s="18">
        <v>0</v>
      </c>
      <c r="F8" s="17">
        <v>11200</v>
      </c>
      <c r="G8" s="16">
        <v>14000</v>
      </c>
      <c r="H8" s="17">
        <v>42600</v>
      </c>
      <c r="I8" s="16">
        <v>13440</v>
      </c>
      <c r="J8" s="17">
        <v>10752</v>
      </c>
      <c r="K8" s="16">
        <v>5632</v>
      </c>
      <c r="L8" s="17">
        <v>27936</v>
      </c>
      <c r="M8" s="74">
        <v>5250</v>
      </c>
      <c r="N8" s="106" t="s">
        <v>70</v>
      </c>
      <c r="O8" s="108">
        <v>13120</v>
      </c>
      <c r="P8" s="106" t="s">
        <v>70</v>
      </c>
      <c r="Q8" s="106" t="s">
        <v>70</v>
      </c>
      <c r="R8" s="106" t="s">
        <v>70</v>
      </c>
      <c r="S8" s="109">
        <f t="shared" si="0"/>
        <v>345322</v>
      </c>
      <c r="T8" s="106"/>
    </row>
    <row r="9" spans="1:26" ht="21">
      <c r="A9" s="104" t="s">
        <v>72</v>
      </c>
      <c r="B9" s="90" t="s">
        <v>1</v>
      </c>
      <c r="C9" s="11">
        <v>96700</v>
      </c>
      <c r="D9" s="19">
        <v>74984</v>
      </c>
      <c r="E9" s="19">
        <v>0</v>
      </c>
      <c r="F9" s="23">
        <v>11200</v>
      </c>
      <c r="G9" s="11">
        <v>14000</v>
      </c>
      <c r="H9" s="23">
        <v>34650</v>
      </c>
      <c r="I9" s="11">
        <v>13440</v>
      </c>
      <c r="J9" s="23">
        <v>10304</v>
      </c>
      <c r="K9" s="11">
        <v>5232</v>
      </c>
      <c r="L9" s="23">
        <v>25596</v>
      </c>
      <c r="M9" s="28">
        <v>5100</v>
      </c>
      <c r="N9" s="107" t="s">
        <v>70</v>
      </c>
      <c r="O9" s="114">
        <v>15414</v>
      </c>
      <c r="P9" s="107">
        <v>393</v>
      </c>
      <c r="Q9" s="114">
        <v>1377</v>
      </c>
      <c r="R9" s="107"/>
      <c r="S9" s="118">
        <f t="shared" si="0"/>
        <v>308390</v>
      </c>
      <c r="T9" s="115">
        <f>S8-S9</f>
        <v>36932</v>
      </c>
      <c r="U9" t="s">
        <v>71</v>
      </c>
    </row>
    <row r="10" spans="1:26" ht="21">
      <c r="A10" s="112">
        <v>24929</v>
      </c>
      <c r="B10" s="35" t="s">
        <v>0</v>
      </c>
      <c r="C10" s="16">
        <v>64400</v>
      </c>
      <c r="D10" s="18">
        <v>88928</v>
      </c>
      <c r="E10" s="18">
        <v>44800</v>
      </c>
      <c r="F10" s="17">
        <v>12000</v>
      </c>
      <c r="G10" s="16">
        <v>14560</v>
      </c>
      <c r="H10" s="17">
        <v>63600</v>
      </c>
      <c r="I10" s="16">
        <v>13440</v>
      </c>
      <c r="J10" s="17">
        <v>11648</v>
      </c>
      <c r="K10" s="16">
        <v>4288</v>
      </c>
      <c r="L10" s="17">
        <v>20880</v>
      </c>
      <c r="M10" s="74">
        <v>6000</v>
      </c>
      <c r="N10" s="106" t="s">
        <v>70</v>
      </c>
      <c r="O10" s="108">
        <v>12320</v>
      </c>
      <c r="P10" s="106" t="s">
        <v>70</v>
      </c>
      <c r="Q10" s="106" t="s">
        <v>70</v>
      </c>
      <c r="R10" s="106" t="s">
        <v>70</v>
      </c>
      <c r="S10" s="109">
        <f t="shared" si="0"/>
        <v>356864</v>
      </c>
      <c r="T10" s="109"/>
    </row>
    <row r="11" spans="1:26" ht="21">
      <c r="A11" s="104" t="s">
        <v>92</v>
      </c>
      <c r="B11" s="90" t="s">
        <v>1</v>
      </c>
      <c r="C11" s="11">
        <v>71150</v>
      </c>
      <c r="D11" s="19">
        <v>82012</v>
      </c>
      <c r="E11" s="19"/>
      <c r="F11" s="23">
        <v>12000</v>
      </c>
      <c r="G11" s="11">
        <v>14560</v>
      </c>
      <c r="H11" s="23">
        <v>58500</v>
      </c>
      <c r="I11" s="11">
        <v>13440</v>
      </c>
      <c r="J11" s="23">
        <v>12096</v>
      </c>
      <c r="K11" s="11">
        <v>5706</v>
      </c>
      <c r="L11" s="23">
        <v>23654</v>
      </c>
      <c r="M11" s="28">
        <v>6000</v>
      </c>
      <c r="N11" s="107"/>
      <c r="O11" s="114">
        <v>16040</v>
      </c>
      <c r="P11" s="107"/>
      <c r="Q11" s="107"/>
      <c r="R11" s="107"/>
      <c r="S11" s="118">
        <f t="shared" si="0"/>
        <v>315158</v>
      </c>
      <c r="T11" s="115">
        <f>S10-S11</f>
        <v>41706</v>
      </c>
      <c r="U11" t="s">
        <v>71</v>
      </c>
    </row>
    <row r="12" spans="1:26" ht="21">
      <c r="A12" s="112">
        <v>24959</v>
      </c>
      <c r="B12" s="35" t="s">
        <v>0</v>
      </c>
      <c r="C12" s="16">
        <v>81200</v>
      </c>
      <c r="D12" s="18">
        <v>89376</v>
      </c>
      <c r="E12" s="18">
        <v>46400</v>
      </c>
      <c r="F12" s="17">
        <v>13600</v>
      </c>
      <c r="G12" s="16">
        <v>12880</v>
      </c>
      <c r="H12" s="17">
        <v>65850</v>
      </c>
      <c r="I12" s="16">
        <v>15568</v>
      </c>
      <c r="J12" s="17">
        <v>15008</v>
      </c>
      <c r="K12" s="16">
        <v>5344</v>
      </c>
      <c r="L12" s="17">
        <v>27712</v>
      </c>
      <c r="M12" s="74">
        <v>5700</v>
      </c>
      <c r="N12" s="106" t="s">
        <v>70</v>
      </c>
      <c r="O12" s="108">
        <v>16080</v>
      </c>
      <c r="P12" s="106" t="s">
        <v>70</v>
      </c>
      <c r="Q12" s="106" t="s">
        <v>70</v>
      </c>
      <c r="R12" s="126">
        <v>6624</v>
      </c>
      <c r="S12" s="109">
        <f t="shared" si="0"/>
        <v>401342</v>
      </c>
      <c r="T12" s="109"/>
      <c r="V12" s="76"/>
    </row>
    <row r="13" spans="1:26" ht="21">
      <c r="A13" s="104" t="s">
        <v>93</v>
      </c>
      <c r="B13" s="90" t="s">
        <v>1</v>
      </c>
      <c r="C13" s="11">
        <v>106000</v>
      </c>
      <c r="D13" s="19">
        <v>79408</v>
      </c>
      <c r="E13" s="19"/>
      <c r="F13" s="23">
        <v>13600</v>
      </c>
      <c r="G13" s="11">
        <v>12880</v>
      </c>
      <c r="H13" s="23">
        <v>62100</v>
      </c>
      <c r="I13" s="11">
        <v>15232</v>
      </c>
      <c r="J13" s="23">
        <v>14896</v>
      </c>
      <c r="K13" s="11">
        <v>5344</v>
      </c>
      <c r="L13" s="23">
        <v>26816</v>
      </c>
      <c r="M13" s="28">
        <v>7050</v>
      </c>
      <c r="N13" s="131"/>
      <c r="O13" s="114">
        <v>21330</v>
      </c>
      <c r="P13" s="107">
        <v>393</v>
      </c>
      <c r="Q13" s="131"/>
      <c r="R13" s="136">
        <v>5028</v>
      </c>
      <c r="S13" s="118">
        <f t="shared" si="0"/>
        <v>370077</v>
      </c>
      <c r="T13" s="115">
        <f>S12-S13</f>
        <v>31265</v>
      </c>
      <c r="U13" t="s">
        <v>71</v>
      </c>
    </row>
    <row r="14" spans="1:26" ht="21">
      <c r="A14" s="112">
        <v>24990</v>
      </c>
      <c r="B14" s="35" t="s">
        <v>0</v>
      </c>
      <c r="C14" s="16">
        <v>94400</v>
      </c>
      <c r="D14" s="18">
        <v>75040</v>
      </c>
      <c r="E14" s="18">
        <v>15200</v>
      </c>
      <c r="F14" s="17">
        <v>12800</v>
      </c>
      <c r="G14" s="16">
        <v>14560</v>
      </c>
      <c r="H14" s="17">
        <v>59400</v>
      </c>
      <c r="I14" s="16">
        <v>13440</v>
      </c>
      <c r="J14" s="17">
        <v>13440</v>
      </c>
      <c r="K14" s="16">
        <v>8384</v>
      </c>
      <c r="L14" s="17">
        <v>23072</v>
      </c>
      <c r="M14" s="16">
        <v>10200</v>
      </c>
      <c r="N14" s="106" t="s">
        <v>70</v>
      </c>
      <c r="O14" s="79">
        <v>18640</v>
      </c>
      <c r="P14" s="132" t="s">
        <v>70</v>
      </c>
      <c r="Q14" s="106" t="s">
        <v>70</v>
      </c>
      <c r="R14" s="126">
        <v>0</v>
      </c>
      <c r="S14" s="134">
        <f t="shared" si="0"/>
        <v>358576</v>
      </c>
      <c r="T14" s="109">
        <f>S14-E14</f>
        <v>343376</v>
      </c>
      <c r="Y14">
        <v>5600</v>
      </c>
      <c r="Z14">
        <v>9000</v>
      </c>
    </row>
    <row r="15" spans="1:26" ht="21">
      <c r="A15" s="104" t="s">
        <v>94</v>
      </c>
      <c r="B15" s="90" t="s">
        <v>1</v>
      </c>
      <c r="C15" s="11">
        <v>112600</v>
      </c>
      <c r="D15" s="19">
        <v>69384</v>
      </c>
      <c r="E15" s="19"/>
      <c r="F15" s="23">
        <v>12800</v>
      </c>
      <c r="G15" s="11">
        <v>14560</v>
      </c>
      <c r="H15" s="23">
        <v>57000</v>
      </c>
      <c r="I15" s="11">
        <v>13440</v>
      </c>
      <c r="J15" s="23">
        <v>13440</v>
      </c>
      <c r="K15" s="11">
        <v>10616</v>
      </c>
      <c r="L15" s="23">
        <v>22048</v>
      </c>
      <c r="M15" s="11">
        <v>10200</v>
      </c>
      <c r="N15" s="107" t="s">
        <v>70</v>
      </c>
      <c r="O15" s="129">
        <v>33075</v>
      </c>
      <c r="P15" s="133">
        <v>393</v>
      </c>
      <c r="Q15" s="107" t="s">
        <v>70</v>
      </c>
      <c r="R15" s="114">
        <v>0</v>
      </c>
      <c r="S15" s="135">
        <f t="shared" si="0"/>
        <v>369556</v>
      </c>
      <c r="T15" s="138">
        <f>S15-S14</f>
        <v>10980</v>
      </c>
      <c r="U15" t="s">
        <v>97</v>
      </c>
      <c r="Y15">
        <v>3600</v>
      </c>
      <c r="Z15">
        <v>12900</v>
      </c>
    </row>
    <row r="16" spans="1:26" ht="21">
      <c r="A16" s="112">
        <v>25020</v>
      </c>
      <c r="B16" s="35" t="s">
        <v>0</v>
      </c>
      <c r="C16" s="12">
        <v>100000</v>
      </c>
      <c r="D16" s="14">
        <v>78848</v>
      </c>
      <c r="E16" s="14">
        <v>18400</v>
      </c>
      <c r="F16" s="13">
        <v>11200</v>
      </c>
      <c r="G16" s="16">
        <v>15680</v>
      </c>
      <c r="H16" s="17">
        <v>57300</v>
      </c>
      <c r="I16" s="16">
        <v>13440</v>
      </c>
      <c r="J16" s="17">
        <v>11648</v>
      </c>
      <c r="K16" s="16">
        <v>5664</v>
      </c>
      <c r="L16" s="17">
        <v>21248</v>
      </c>
      <c r="M16" s="74">
        <v>10050</v>
      </c>
      <c r="N16" s="131" t="s">
        <v>70</v>
      </c>
      <c r="O16" s="108">
        <v>18400</v>
      </c>
      <c r="P16" s="106" t="s">
        <v>70</v>
      </c>
      <c r="Q16" s="131" t="s">
        <v>70</v>
      </c>
      <c r="R16" s="136">
        <v>0</v>
      </c>
      <c r="S16" s="109">
        <f t="shared" si="0"/>
        <v>361878</v>
      </c>
      <c r="T16" s="109">
        <f>S16-E16</f>
        <v>343478</v>
      </c>
      <c r="Y16">
        <v>5600</v>
      </c>
      <c r="Z16">
        <v>13500</v>
      </c>
    </row>
    <row r="17" spans="1:26" ht="21">
      <c r="A17" s="104" t="s">
        <v>95</v>
      </c>
      <c r="B17" s="90" t="s">
        <v>1</v>
      </c>
      <c r="C17" s="11">
        <v>116800</v>
      </c>
      <c r="D17" s="19">
        <v>74760</v>
      </c>
      <c r="E17" s="19">
        <v>0</v>
      </c>
      <c r="F17" s="23">
        <v>11200</v>
      </c>
      <c r="G17" s="11">
        <v>15680</v>
      </c>
      <c r="H17" s="23">
        <v>54300</v>
      </c>
      <c r="I17" s="11">
        <v>14784</v>
      </c>
      <c r="J17" s="23">
        <v>11760</v>
      </c>
      <c r="K17" s="11">
        <v>5840</v>
      </c>
      <c r="L17" s="23">
        <v>20448</v>
      </c>
      <c r="M17" s="28">
        <v>9900</v>
      </c>
      <c r="N17" s="114">
        <v>1917</v>
      </c>
      <c r="O17" s="114">
        <v>29930</v>
      </c>
      <c r="P17" s="131"/>
      <c r="Q17" s="107"/>
      <c r="R17" s="107"/>
      <c r="S17" s="118">
        <f t="shared" si="0"/>
        <v>367319</v>
      </c>
      <c r="T17" s="138">
        <f>S17-S16</f>
        <v>5441</v>
      </c>
      <c r="U17" t="s">
        <v>97</v>
      </c>
      <c r="Y17">
        <v>3600</v>
      </c>
      <c r="Z17">
        <v>13500</v>
      </c>
    </row>
    <row r="18" spans="1:26" ht="21">
      <c r="A18" s="112">
        <v>25051</v>
      </c>
      <c r="B18" s="35" t="s">
        <v>0</v>
      </c>
      <c r="C18" s="12">
        <v>112000</v>
      </c>
      <c r="D18" s="14">
        <v>76664</v>
      </c>
      <c r="E18" s="14">
        <v>12000</v>
      </c>
      <c r="F18" s="13">
        <v>12800</v>
      </c>
      <c r="G18" s="16">
        <v>16128</v>
      </c>
      <c r="H18" s="17">
        <v>62600</v>
      </c>
      <c r="I18" s="16">
        <v>13440</v>
      </c>
      <c r="J18" s="17">
        <v>12768</v>
      </c>
      <c r="K18" s="16">
        <v>11760</v>
      </c>
      <c r="L18" s="17">
        <v>26944</v>
      </c>
      <c r="M18" s="74">
        <v>8400</v>
      </c>
      <c r="N18" s="106" t="s">
        <v>70</v>
      </c>
      <c r="O18" s="127">
        <v>6720</v>
      </c>
      <c r="P18" s="106" t="s">
        <v>70</v>
      </c>
      <c r="Q18" s="106" t="s">
        <v>70</v>
      </c>
      <c r="R18" s="126">
        <v>0</v>
      </c>
      <c r="S18" s="109">
        <f t="shared" si="0"/>
        <v>372224</v>
      </c>
      <c r="T18" s="109">
        <f>S18-E18</f>
        <v>360224</v>
      </c>
      <c r="Z18">
        <v>13500</v>
      </c>
    </row>
    <row r="19" spans="1:26" ht="21">
      <c r="A19" s="104" t="s">
        <v>101</v>
      </c>
      <c r="B19" s="90" t="s">
        <v>1</v>
      </c>
      <c r="C19" s="11">
        <v>125380</v>
      </c>
      <c r="D19" s="19">
        <v>69328</v>
      </c>
      <c r="E19" s="19"/>
      <c r="F19" s="23">
        <v>13600</v>
      </c>
      <c r="G19" s="11">
        <v>16128</v>
      </c>
      <c r="H19" s="23">
        <v>61500</v>
      </c>
      <c r="I19" s="11">
        <v>13440</v>
      </c>
      <c r="J19" s="23">
        <v>12936</v>
      </c>
      <c r="K19" s="11">
        <v>12560</v>
      </c>
      <c r="L19" s="23">
        <v>27548</v>
      </c>
      <c r="M19" s="28">
        <v>8400</v>
      </c>
      <c r="N19" s="107" t="s">
        <v>70</v>
      </c>
      <c r="O19" s="128">
        <v>12295</v>
      </c>
      <c r="P19" s="107" t="s">
        <v>70</v>
      </c>
      <c r="Q19" s="107" t="s">
        <v>70</v>
      </c>
      <c r="R19" s="114">
        <v>0</v>
      </c>
      <c r="S19" s="118">
        <f t="shared" si="0"/>
        <v>373115</v>
      </c>
      <c r="T19" s="138">
        <f>S19-S18</f>
        <v>891</v>
      </c>
      <c r="U19" t="s">
        <v>97</v>
      </c>
    </row>
    <row r="20" spans="1:26" ht="21">
      <c r="A20" s="112">
        <v>25082</v>
      </c>
      <c r="B20" s="35" t="s">
        <v>0</v>
      </c>
      <c r="C20" s="12">
        <v>88000</v>
      </c>
      <c r="D20" s="14">
        <v>64064</v>
      </c>
      <c r="E20" s="14">
        <v>14400</v>
      </c>
      <c r="F20" s="13">
        <v>12000</v>
      </c>
      <c r="G20" s="16">
        <v>16128</v>
      </c>
      <c r="H20" s="17">
        <v>57600</v>
      </c>
      <c r="I20" s="16">
        <v>11200</v>
      </c>
      <c r="J20" s="17">
        <v>12320</v>
      </c>
      <c r="K20" s="16">
        <v>12608</v>
      </c>
      <c r="L20" s="17">
        <v>25232</v>
      </c>
      <c r="M20" s="74">
        <v>7500</v>
      </c>
      <c r="N20" s="131" t="s">
        <v>70</v>
      </c>
      <c r="O20" s="108">
        <v>13200</v>
      </c>
      <c r="P20" s="131" t="s">
        <v>70</v>
      </c>
      <c r="Q20" s="131" t="s">
        <v>70</v>
      </c>
      <c r="R20" s="136">
        <v>0</v>
      </c>
      <c r="S20" s="109">
        <f t="shared" si="0"/>
        <v>334252</v>
      </c>
      <c r="T20" s="109">
        <f>S20-E20</f>
        <v>319852</v>
      </c>
    </row>
    <row r="21" spans="1:26" ht="21">
      <c r="A21" s="104" t="s">
        <v>102</v>
      </c>
      <c r="B21" s="90" t="s">
        <v>1</v>
      </c>
      <c r="C21" s="11">
        <v>105900</v>
      </c>
      <c r="D21" s="19">
        <v>59192</v>
      </c>
      <c r="E21" s="19"/>
      <c r="F21" s="23">
        <v>12000</v>
      </c>
      <c r="G21" s="11">
        <v>16128</v>
      </c>
      <c r="H21" s="23">
        <v>57300</v>
      </c>
      <c r="I21" s="11">
        <v>11200</v>
      </c>
      <c r="J21" s="23">
        <v>11648</v>
      </c>
      <c r="K21" s="11">
        <v>7200</v>
      </c>
      <c r="L21" s="23">
        <v>25232</v>
      </c>
      <c r="M21" s="28">
        <v>7500</v>
      </c>
      <c r="N21" s="107"/>
      <c r="O21" s="114">
        <v>17125</v>
      </c>
      <c r="P21" s="107"/>
      <c r="Q21" s="107"/>
      <c r="R21" s="114">
        <v>13996</v>
      </c>
      <c r="S21" s="140">
        <f>SUM(C21:R21)</f>
        <v>344421</v>
      </c>
      <c r="T21" s="139">
        <f>S21-S20</f>
        <v>10169</v>
      </c>
      <c r="U21" t="s">
        <v>97</v>
      </c>
      <c r="W21">
        <v>10976</v>
      </c>
    </row>
    <row r="22" spans="1:26" ht="21">
      <c r="A22" s="112">
        <v>25112</v>
      </c>
      <c r="B22" s="35" t="s">
        <v>0</v>
      </c>
      <c r="C22" s="12">
        <v>108400</v>
      </c>
      <c r="D22" s="14">
        <v>62944</v>
      </c>
      <c r="E22" s="14"/>
      <c r="F22" s="13">
        <v>24000</v>
      </c>
      <c r="G22" s="16">
        <v>16128</v>
      </c>
      <c r="H22" s="17">
        <v>57000</v>
      </c>
      <c r="I22" s="16">
        <v>14784</v>
      </c>
      <c r="J22" s="17">
        <v>12992</v>
      </c>
      <c r="K22" s="16">
        <v>10864</v>
      </c>
      <c r="L22" s="17">
        <v>30432</v>
      </c>
      <c r="M22" s="74">
        <v>12000</v>
      </c>
      <c r="N22" s="106" t="s">
        <v>70</v>
      </c>
      <c r="O22" s="108">
        <v>14800</v>
      </c>
      <c r="P22" s="106" t="s">
        <v>70</v>
      </c>
      <c r="Q22" s="106" t="s">
        <v>70</v>
      </c>
      <c r="R22" s="126">
        <v>0</v>
      </c>
      <c r="S22" s="109">
        <f t="shared" ref="S22:S24" si="1">SUM(C22:R22)</f>
        <v>364344</v>
      </c>
      <c r="T22" s="109">
        <f>S22-E22</f>
        <v>364344</v>
      </c>
    </row>
    <row r="23" spans="1:26" ht="21">
      <c r="A23" s="104" t="s">
        <v>104</v>
      </c>
      <c r="B23" s="90" t="s">
        <v>1</v>
      </c>
      <c r="C23" s="11">
        <v>103100</v>
      </c>
      <c r="D23" s="19">
        <v>61768</v>
      </c>
      <c r="E23" s="19"/>
      <c r="F23" s="23">
        <v>24000</v>
      </c>
      <c r="G23" s="11">
        <v>17024</v>
      </c>
      <c r="H23" s="23">
        <v>56700</v>
      </c>
      <c r="I23" s="11">
        <v>12936</v>
      </c>
      <c r="J23" s="23">
        <v>13440</v>
      </c>
      <c r="K23" s="11">
        <v>10240</v>
      </c>
      <c r="L23" s="23">
        <v>30508</v>
      </c>
      <c r="M23" s="28">
        <v>12000</v>
      </c>
      <c r="N23" s="107" t="s">
        <v>70</v>
      </c>
      <c r="O23" s="114">
        <v>10950</v>
      </c>
      <c r="P23" s="107" t="s">
        <v>70</v>
      </c>
      <c r="Q23" s="107" t="s">
        <v>70</v>
      </c>
      <c r="R23" s="107" t="s">
        <v>70</v>
      </c>
      <c r="S23" s="118">
        <f t="shared" si="1"/>
        <v>352666</v>
      </c>
      <c r="T23" s="142">
        <f>T22-S23</f>
        <v>11678</v>
      </c>
      <c r="U23" s="131" t="s">
        <v>71</v>
      </c>
    </row>
    <row r="24" spans="1:26" ht="21">
      <c r="A24" s="112">
        <v>25143</v>
      </c>
      <c r="B24" s="35" t="s">
        <v>0</v>
      </c>
      <c r="C24" s="12">
        <v>107600</v>
      </c>
      <c r="D24" s="14">
        <v>60704</v>
      </c>
      <c r="E24" s="14"/>
      <c r="F24" s="13">
        <v>24800</v>
      </c>
      <c r="G24" s="16">
        <v>17024</v>
      </c>
      <c r="H24" s="17">
        <v>58800</v>
      </c>
      <c r="I24" s="16">
        <v>14000</v>
      </c>
      <c r="J24" s="17">
        <v>12488</v>
      </c>
      <c r="K24" s="16">
        <v>12608</v>
      </c>
      <c r="L24" s="17">
        <v>25488</v>
      </c>
      <c r="M24" s="74">
        <v>10800</v>
      </c>
      <c r="N24" s="131">
        <v>0</v>
      </c>
      <c r="O24" s="141">
        <v>14960</v>
      </c>
      <c r="P24" s="131" t="s">
        <v>70</v>
      </c>
      <c r="Q24" s="131" t="s">
        <v>70</v>
      </c>
      <c r="R24" s="136">
        <v>0</v>
      </c>
      <c r="S24" s="117">
        <f t="shared" si="1"/>
        <v>359272</v>
      </c>
      <c r="T24" s="109">
        <f>S24-E24</f>
        <v>359272</v>
      </c>
    </row>
    <row r="25" spans="1:26" ht="21">
      <c r="A25" s="104" t="s">
        <v>106</v>
      </c>
      <c r="B25" s="90" t="s">
        <v>1</v>
      </c>
      <c r="C25" s="11"/>
      <c r="D25" s="19"/>
      <c r="E25" s="19"/>
      <c r="F25" s="23"/>
      <c r="G25" s="11"/>
      <c r="H25" s="23"/>
      <c r="I25" s="11"/>
      <c r="J25" s="23"/>
      <c r="K25" s="11"/>
      <c r="L25" s="23"/>
      <c r="M25" s="28" t="s">
        <v>107</v>
      </c>
      <c r="N25" s="107"/>
      <c r="O25" s="107"/>
      <c r="P25" s="107"/>
      <c r="Q25" s="107"/>
      <c r="R25" s="107"/>
      <c r="S25" s="107"/>
      <c r="T25" s="107"/>
    </row>
    <row r="26" spans="1:26" ht="21">
      <c r="A26" s="194" t="s">
        <v>103</v>
      </c>
      <c r="B26" s="194"/>
      <c r="C26" s="194"/>
      <c r="D26" s="194"/>
      <c r="E26" s="194"/>
      <c r="F26" s="194"/>
      <c r="G26" s="18"/>
      <c r="H26" s="18"/>
      <c r="I26" s="18"/>
      <c r="J26" s="18"/>
      <c r="K26" s="18"/>
      <c r="L26" s="18"/>
      <c r="M26" s="18"/>
      <c r="N26" s="105"/>
      <c r="O26" s="105"/>
      <c r="P26" s="105"/>
      <c r="Q26" s="105"/>
      <c r="R26" s="105"/>
      <c r="S26" s="105"/>
      <c r="T26" s="105"/>
    </row>
    <row r="27" spans="1:26" ht="21">
      <c r="A27" s="194" t="s">
        <v>98</v>
      </c>
      <c r="B27" s="194"/>
      <c r="C27" s="194"/>
      <c r="D27" s="194"/>
      <c r="E27" s="194"/>
      <c r="F27" s="194"/>
      <c r="G27" s="18"/>
      <c r="H27" s="18"/>
      <c r="I27" s="18"/>
      <c r="J27" s="18"/>
      <c r="K27" s="18"/>
      <c r="L27" s="18"/>
      <c r="M27" s="18"/>
      <c r="N27" s="105"/>
      <c r="O27" s="105"/>
      <c r="P27" s="105"/>
      <c r="Q27" s="105"/>
      <c r="R27" s="105"/>
      <c r="S27" s="105"/>
      <c r="T27" s="105"/>
      <c r="Z27">
        <v>5664</v>
      </c>
    </row>
    <row r="28" spans="1:26" ht="21">
      <c r="A28" s="194" t="s">
        <v>99</v>
      </c>
      <c r="B28" s="194"/>
      <c r="C28" s="194"/>
      <c r="D28" s="194"/>
      <c r="E28" s="194"/>
      <c r="F28" s="194"/>
      <c r="G28" s="18"/>
      <c r="H28" s="18"/>
      <c r="I28" s="18"/>
      <c r="J28" s="18"/>
      <c r="K28" s="18"/>
      <c r="L28" s="18"/>
      <c r="M28" s="18"/>
      <c r="N28" s="105"/>
      <c r="O28" s="105"/>
      <c r="P28" s="105"/>
      <c r="Q28" s="105"/>
      <c r="R28" s="105"/>
      <c r="S28" s="105"/>
      <c r="T28" s="105"/>
      <c r="Z28">
        <v>18400</v>
      </c>
    </row>
    <row r="29" spans="1:26" ht="21">
      <c r="A29" s="137" t="s">
        <v>100</v>
      </c>
      <c r="B29" s="13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05"/>
      <c r="O29" s="105"/>
      <c r="P29" s="105"/>
      <c r="Q29" s="105"/>
      <c r="R29" s="105"/>
      <c r="S29" s="105"/>
      <c r="T29" s="105"/>
    </row>
    <row r="30" spans="1:26" ht="21">
      <c r="A30" s="137" t="s">
        <v>105</v>
      </c>
      <c r="B30" s="13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05"/>
      <c r="O30" s="105"/>
      <c r="P30" s="105"/>
      <c r="Q30" s="105"/>
      <c r="R30" s="105"/>
      <c r="S30" s="105"/>
      <c r="T30" s="105"/>
    </row>
    <row r="31" spans="1:26" ht="21">
      <c r="R31" s="105"/>
      <c r="S31" s="105"/>
      <c r="T31" s="105"/>
      <c r="Y31">
        <v>3136</v>
      </c>
    </row>
    <row r="32" spans="1:26" ht="16.5">
      <c r="A32" s="172" t="s">
        <v>27</v>
      </c>
      <c r="B32" s="172"/>
      <c r="C32" s="172"/>
      <c r="D32" s="172"/>
      <c r="E32" s="172"/>
      <c r="F32" s="52"/>
      <c r="G32" s="52"/>
      <c r="H32" s="52"/>
      <c r="I32" s="172" t="s">
        <v>37</v>
      </c>
      <c r="J32" s="172"/>
      <c r="K32" s="172"/>
      <c r="L32" s="172"/>
      <c r="M32" s="172"/>
      <c r="P32" s="172" t="s">
        <v>108</v>
      </c>
      <c r="Q32" s="172"/>
      <c r="R32" s="172"/>
      <c r="S32" s="172"/>
      <c r="T32" s="172"/>
      <c r="Y32">
        <v>3136</v>
      </c>
    </row>
    <row r="33" spans="1:20" ht="16.5">
      <c r="A33" s="162" t="s">
        <v>28</v>
      </c>
      <c r="B33" s="162"/>
      <c r="C33" s="162"/>
      <c r="D33" s="162"/>
      <c r="E33" s="162"/>
      <c r="F33" s="52"/>
      <c r="G33" s="52"/>
      <c r="H33" s="52"/>
      <c r="I33" s="162" t="s">
        <v>29</v>
      </c>
      <c r="J33" s="162"/>
      <c r="K33" s="162"/>
      <c r="L33" s="162"/>
      <c r="M33" s="162"/>
      <c r="P33" s="163" t="s">
        <v>30</v>
      </c>
      <c r="Q33" s="163"/>
      <c r="R33" s="163"/>
      <c r="S33" s="163"/>
      <c r="T33" s="163"/>
    </row>
    <row r="34" spans="1:20" ht="21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</row>
    <row r="35" spans="1:20" ht="21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</row>
    <row r="36" spans="1:20" ht="21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</row>
    <row r="37" spans="1:20" ht="21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</row>
    <row r="38" spans="1:20" ht="21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</row>
    <row r="39" spans="1:20" ht="21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</row>
    <row r="40" spans="1:20">
      <c r="N40">
        <v>5232</v>
      </c>
    </row>
    <row r="41" spans="1:20">
      <c r="N41">
        <v>15190</v>
      </c>
    </row>
  </sheetData>
  <mergeCells count="18">
    <mergeCell ref="A33:E33"/>
    <mergeCell ref="I33:M33"/>
    <mergeCell ref="P33:T33"/>
    <mergeCell ref="A26:F26"/>
    <mergeCell ref="A27:F27"/>
    <mergeCell ref="A28:F28"/>
    <mergeCell ref="A32:E32"/>
    <mergeCell ref="I32:M32"/>
    <mergeCell ref="P32:T32"/>
    <mergeCell ref="A1:T1"/>
    <mergeCell ref="C2:F2"/>
    <mergeCell ref="G2:H2"/>
    <mergeCell ref="I2:J2"/>
    <mergeCell ref="K2:L2"/>
    <mergeCell ref="M2:P2"/>
    <mergeCell ref="Q2:Q3"/>
    <mergeCell ref="R2:R3"/>
    <mergeCell ref="T2: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6E666-B49C-4419-8E11-C1F0BDCD2A1B}">
  <dimension ref="A1:X67"/>
  <sheetViews>
    <sheetView tabSelected="1" view="pageBreakPreview" topLeftCell="A35" zoomScaleNormal="100" zoomScaleSheetLayoutView="100" workbookViewId="0">
      <selection activeCell="P47" sqref="P47"/>
    </sheetView>
  </sheetViews>
  <sheetFormatPr defaultRowHeight="15"/>
  <cols>
    <col min="1" max="15" width="9.42578125" customWidth="1"/>
    <col min="16" max="16" width="11.5703125" customWidth="1"/>
    <col min="17" max="20" width="9.42578125" customWidth="1"/>
    <col min="21" max="21" width="10.42578125" customWidth="1"/>
  </cols>
  <sheetData>
    <row r="1" spans="1:24" ht="23.25">
      <c r="A1" s="179" t="s">
        <v>117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</row>
    <row r="2" spans="1:24" ht="21">
      <c r="A2" s="95"/>
      <c r="B2" s="94"/>
      <c r="C2" s="184" t="s">
        <v>9</v>
      </c>
      <c r="D2" s="185"/>
      <c r="E2" s="185"/>
      <c r="F2" s="186"/>
      <c r="G2" s="187" t="s">
        <v>10</v>
      </c>
      <c r="H2" s="181"/>
      <c r="I2" s="180" t="s">
        <v>36</v>
      </c>
      <c r="J2" s="181"/>
      <c r="K2" s="180" t="s">
        <v>11</v>
      </c>
      <c r="L2" s="187"/>
      <c r="M2" s="188" t="s">
        <v>12</v>
      </c>
      <c r="N2" s="189"/>
      <c r="O2" s="189"/>
      <c r="P2" s="190"/>
      <c r="Q2" s="182" t="s">
        <v>128</v>
      </c>
      <c r="R2" s="182" t="s">
        <v>60</v>
      </c>
      <c r="S2" s="110" t="s">
        <v>13</v>
      </c>
      <c r="T2" s="191" t="s">
        <v>46</v>
      </c>
    </row>
    <row r="3" spans="1:24" ht="21">
      <c r="A3" s="101"/>
      <c r="B3" s="100"/>
      <c r="C3" s="97" t="s">
        <v>14</v>
      </c>
      <c r="D3" s="98" t="s">
        <v>15</v>
      </c>
      <c r="E3" s="98" t="s">
        <v>74</v>
      </c>
      <c r="F3" s="99" t="s">
        <v>16</v>
      </c>
      <c r="G3" s="96" t="s">
        <v>17</v>
      </c>
      <c r="H3" s="100" t="s">
        <v>18</v>
      </c>
      <c r="I3" s="96" t="s">
        <v>19</v>
      </c>
      <c r="J3" s="96" t="s">
        <v>20</v>
      </c>
      <c r="K3" s="101" t="s">
        <v>21</v>
      </c>
      <c r="L3" s="96" t="s">
        <v>22</v>
      </c>
      <c r="M3" s="102" t="s">
        <v>24</v>
      </c>
      <c r="N3" s="103" t="s">
        <v>12</v>
      </c>
      <c r="O3" s="103" t="s">
        <v>66</v>
      </c>
      <c r="P3" s="130" t="s">
        <v>44</v>
      </c>
      <c r="Q3" s="183"/>
      <c r="R3" s="183"/>
      <c r="S3" s="111" t="s">
        <v>23</v>
      </c>
      <c r="T3" s="192"/>
    </row>
    <row r="4" spans="1:24" ht="21" hidden="1">
      <c r="A4" s="113">
        <v>243984</v>
      </c>
      <c r="B4" s="34" t="s">
        <v>0</v>
      </c>
      <c r="C4" s="16">
        <v>159200</v>
      </c>
      <c r="D4" s="18">
        <v>84448</v>
      </c>
      <c r="E4" s="18">
        <v>0</v>
      </c>
      <c r="F4" s="17">
        <v>13600</v>
      </c>
      <c r="G4" s="16">
        <v>13832</v>
      </c>
      <c r="H4" s="17">
        <v>55200</v>
      </c>
      <c r="I4" s="16">
        <v>16912</v>
      </c>
      <c r="J4" s="17">
        <v>11704</v>
      </c>
      <c r="K4" s="16">
        <v>12960</v>
      </c>
      <c r="L4" s="17">
        <v>29408</v>
      </c>
      <c r="M4" s="74">
        <v>10350</v>
      </c>
      <c r="N4" s="106" t="s">
        <v>70</v>
      </c>
      <c r="O4" s="127">
        <v>8600</v>
      </c>
      <c r="P4" s="106" t="s">
        <v>70</v>
      </c>
      <c r="Q4" s="106" t="s">
        <v>70</v>
      </c>
      <c r="R4" s="106" t="s">
        <v>70</v>
      </c>
      <c r="S4" s="109">
        <f t="shared" ref="S4:S11" si="0">SUM(C4:R4)</f>
        <v>416214</v>
      </c>
      <c r="T4" s="106"/>
    </row>
    <row r="5" spans="1:24" ht="21" hidden="1">
      <c r="A5" s="104" t="s">
        <v>68</v>
      </c>
      <c r="B5" s="90" t="s">
        <v>1</v>
      </c>
      <c r="C5" s="11">
        <v>132400</v>
      </c>
      <c r="D5" s="19">
        <v>76412</v>
      </c>
      <c r="E5" s="19">
        <v>0</v>
      </c>
      <c r="F5" s="23">
        <v>13600</v>
      </c>
      <c r="G5" s="11">
        <v>13832</v>
      </c>
      <c r="H5" s="23">
        <v>54000</v>
      </c>
      <c r="I5" s="11">
        <v>16912</v>
      </c>
      <c r="J5" s="23">
        <v>11872</v>
      </c>
      <c r="K5" s="11">
        <v>9836</v>
      </c>
      <c r="L5" s="23">
        <v>32304</v>
      </c>
      <c r="M5" s="28">
        <v>10200</v>
      </c>
      <c r="N5" s="107" t="s">
        <v>70</v>
      </c>
      <c r="O5" s="128">
        <v>22140</v>
      </c>
      <c r="P5" s="107" t="s">
        <v>70</v>
      </c>
      <c r="Q5" s="129">
        <v>3257</v>
      </c>
      <c r="R5" s="114">
        <v>11806</v>
      </c>
      <c r="S5" s="109">
        <f t="shared" si="0"/>
        <v>408571</v>
      </c>
      <c r="T5" s="115">
        <f>S4-S5</f>
        <v>7643</v>
      </c>
      <c r="U5" t="s">
        <v>71</v>
      </c>
    </row>
    <row r="6" spans="1:24" ht="21" hidden="1">
      <c r="A6" s="112">
        <v>24869</v>
      </c>
      <c r="B6" s="35" t="s">
        <v>0</v>
      </c>
      <c r="C6" s="16">
        <v>174400</v>
      </c>
      <c r="D6" s="18">
        <v>84896</v>
      </c>
      <c r="E6" s="18">
        <v>0</v>
      </c>
      <c r="F6" s="17">
        <v>12800</v>
      </c>
      <c r="G6" s="16">
        <v>13776</v>
      </c>
      <c r="H6" s="17">
        <v>54900</v>
      </c>
      <c r="I6" s="16">
        <v>16520</v>
      </c>
      <c r="J6" s="17">
        <v>12992</v>
      </c>
      <c r="K6" s="16">
        <v>9856</v>
      </c>
      <c r="L6" s="17">
        <v>27680</v>
      </c>
      <c r="M6" s="74">
        <v>10200</v>
      </c>
      <c r="N6" s="106" t="s">
        <v>70</v>
      </c>
      <c r="O6" s="108">
        <v>25840</v>
      </c>
      <c r="P6" s="131" t="s">
        <v>70</v>
      </c>
      <c r="Q6" s="106" t="s">
        <v>70</v>
      </c>
      <c r="R6" s="106" t="s">
        <v>70</v>
      </c>
      <c r="S6" s="109">
        <f t="shared" si="0"/>
        <v>443860</v>
      </c>
      <c r="T6" s="106"/>
    </row>
    <row r="7" spans="1:24" ht="21" hidden="1">
      <c r="A7" s="104" t="s">
        <v>69</v>
      </c>
      <c r="B7" s="90" t="s">
        <v>1</v>
      </c>
      <c r="C7" s="11">
        <v>144500</v>
      </c>
      <c r="D7" s="19">
        <v>91196</v>
      </c>
      <c r="E7" s="19">
        <v>0</v>
      </c>
      <c r="F7" s="23">
        <v>12800</v>
      </c>
      <c r="G7" s="11">
        <v>13664</v>
      </c>
      <c r="H7" s="23">
        <v>49650</v>
      </c>
      <c r="I7" s="11">
        <v>16968</v>
      </c>
      <c r="J7" s="23">
        <v>12992</v>
      </c>
      <c r="K7" s="11">
        <v>8520</v>
      </c>
      <c r="L7" s="23">
        <v>26460</v>
      </c>
      <c r="M7" s="28">
        <v>10800</v>
      </c>
      <c r="N7" s="107" t="s">
        <v>70</v>
      </c>
      <c r="O7" s="114">
        <v>28600</v>
      </c>
      <c r="P7" s="107" t="s">
        <v>70</v>
      </c>
      <c r="Q7" s="107" t="s">
        <v>70</v>
      </c>
      <c r="R7" s="107" t="s">
        <v>70</v>
      </c>
      <c r="S7" s="118">
        <f t="shared" si="0"/>
        <v>416150</v>
      </c>
      <c r="T7" s="115">
        <f>S6-S7</f>
        <v>27710</v>
      </c>
      <c r="U7" t="s">
        <v>71</v>
      </c>
    </row>
    <row r="8" spans="1:24" ht="21" hidden="1">
      <c r="A8" s="112">
        <v>24898</v>
      </c>
      <c r="B8" s="35" t="s">
        <v>0</v>
      </c>
      <c r="C8" s="16">
        <v>132400</v>
      </c>
      <c r="D8" s="18">
        <v>68992</v>
      </c>
      <c r="E8" s="18">
        <v>0</v>
      </c>
      <c r="F8" s="17">
        <v>11200</v>
      </c>
      <c r="G8" s="16">
        <v>14000</v>
      </c>
      <c r="H8" s="17">
        <v>42600</v>
      </c>
      <c r="I8" s="16">
        <v>13440</v>
      </c>
      <c r="J8" s="17">
        <v>10752</v>
      </c>
      <c r="K8" s="16">
        <v>5632</v>
      </c>
      <c r="L8" s="17">
        <v>27936</v>
      </c>
      <c r="M8" s="74">
        <v>5250</v>
      </c>
      <c r="N8" s="106" t="s">
        <v>70</v>
      </c>
      <c r="O8" s="108">
        <v>13120</v>
      </c>
      <c r="P8" s="106" t="s">
        <v>70</v>
      </c>
      <c r="Q8" s="106" t="s">
        <v>70</v>
      </c>
      <c r="R8" s="106" t="s">
        <v>70</v>
      </c>
      <c r="S8" s="109">
        <f t="shared" si="0"/>
        <v>345322</v>
      </c>
      <c r="T8" s="106"/>
    </row>
    <row r="9" spans="1:24" ht="21" hidden="1">
      <c r="A9" s="104" t="s">
        <v>72</v>
      </c>
      <c r="B9" s="90" t="s">
        <v>1</v>
      </c>
      <c r="C9" s="11">
        <v>96700</v>
      </c>
      <c r="D9" s="19">
        <v>74984</v>
      </c>
      <c r="E9" s="19">
        <v>0</v>
      </c>
      <c r="F9" s="23">
        <v>11200</v>
      </c>
      <c r="G9" s="11">
        <v>14000</v>
      </c>
      <c r="H9" s="23">
        <v>34650</v>
      </c>
      <c r="I9" s="11">
        <v>13440</v>
      </c>
      <c r="J9" s="23">
        <v>10304</v>
      </c>
      <c r="K9" s="11">
        <v>5232</v>
      </c>
      <c r="L9" s="23">
        <v>25596</v>
      </c>
      <c r="M9" s="28">
        <v>5100</v>
      </c>
      <c r="N9" s="107" t="s">
        <v>70</v>
      </c>
      <c r="O9" s="114">
        <v>15414</v>
      </c>
      <c r="P9" s="107">
        <v>393</v>
      </c>
      <c r="Q9" s="114">
        <v>1377</v>
      </c>
      <c r="R9" s="107"/>
      <c r="S9" s="118">
        <f t="shared" si="0"/>
        <v>308390</v>
      </c>
      <c r="T9" s="115">
        <f>S8-S9</f>
        <v>36932</v>
      </c>
      <c r="U9" t="s">
        <v>71</v>
      </c>
    </row>
    <row r="10" spans="1:24" ht="21" hidden="1">
      <c r="A10" s="112">
        <v>24929</v>
      </c>
      <c r="B10" s="35" t="s">
        <v>0</v>
      </c>
      <c r="C10" s="16">
        <v>64400</v>
      </c>
      <c r="D10" s="18">
        <v>88928</v>
      </c>
      <c r="E10" s="18">
        <v>44800</v>
      </c>
      <c r="F10" s="17">
        <v>12000</v>
      </c>
      <c r="G10" s="16">
        <v>14560</v>
      </c>
      <c r="H10" s="17">
        <v>63600</v>
      </c>
      <c r="I10" s="16">
        <v>13440</v>
      </c>
      <c r="J10" s="17">
        <v>11648</v>
      </c>
      <c r="K10" s="16">
        <v>4288</v>
      </c>
      <c r="L10" s="17">
        <v>20880</v>
      </c>
      <c r="M10" s="74">
        <v>6000</v>
      </c>
      <c r="N10" s="106" t="s">
        <v>70</v>
      </c>
      <c r="O10" s="108">
        <v>12320</v>
      </c>
      <c r="P10" s="106" t="s">
        <v>70</v>
      </c>
      <c r="Q10" s="106" t="s">
        <v>70</v>
      </c>
      <c r="R10" s="106" t="s">
        <v>70</v>
      </c>
      <c r="S10" s="109">
        <f t="shared" si="0"/>
        <v>356864</v>
      </c>
      <c r="T10" s="109"/>
    </row>
    <row r="11" spans="1:24" ht="21" hidden="1">
      <c r="A11" s="104" t="s">
        <v>92</v>
      </c>
      <c r="B11" s="90" t="s">
        <v>1</v>
      </c>
      <c r="C11" s="11">
        <v>71150</v>
      </c>
      <c r="D11" s="19">
        <v>82012</v>
      </c>
      <c r="E11" s="19"/>
      <c r="F11" s="23">
        <v>12000</v>
      </c>
      <c r="G11" s="11">
        <v>14560</v>
      </c>
      <c r="H11" s="23">
        <v>58500</v>
      </c>
      <c r="I11" s="11">
        <v>13440</v>
      </c>
      <c r="J11" s="23">
        <v>12096</v>
      </c>
      <c r="K11" s="11">
        <v>5706</v>
      </c>
      <c r="L11" s="23">
        <v>23654</v>
      </c>
      <c r="M11" s="28">
        <v>6000</v>
      </c>
      <c r="N11" s="107"/>
      <c r="O11" s="114">
        <v>16040</v>
      </c>
      <c r="P11" s="107"/>
      <c r="Q11" s="107"/>
      <c r="R11" s="107"/>
      <c r="S11" s="118">
        <f t="shared" si="0"/>
        <v>315158</v>
      </c>
      <c r="T11" s="115">
        <f>S10-S11</f>
        <v>41706</v>
      </c>
      <c r="U11" t="s">
        <v>71</v>
      </c>
    </row>
    <row r="12" spans="1:24" ht="21" hidden="1">
      <c r="A12" s="112">
        <v>24959</v>
      </c>
      <c r="B12" s="35" t="s">
        <v>0</v>
      </c>
      <c r="C12" s="16">
        <v>81200</v>
      </c>
      <c r="D12" s="18">
        <v>89376</v>
      </c>
      <c r="E12" s="18">
        <v>46400</v>
      </c>
      <c r="F12" s="17">
        <v>13600</v>
      </c>
      <c r="G12" s="16">
        <v>12880</v>
      </c>
      <c r="H12" s="17">
        <v>65850</v>
      </c>
      <c r="I12" s="16">
        <v>15568</v>
      </c>
      <c r="J12" s="17">
        <v>15008</v>
      </c>
      <c r="K12" s="16">
        <v>5344</v>
      </c>
      <c r="L12" s="17">
        <v>27712</v>
      </c>
      <c r="M12" s="74">
        <v>5700</v>
      </c>
      <c r="N12" s="106" t="s">
        <v>70</v>
      </c>
      <c r="O12" s="108">
        <v>16080</v>
      </c>
      <c r="P12" s="106" t="s">
        <v>70</v>
      </c>
      <c r="Q12" s="106" t="s">
        <v>70</v>
      </c>
      <c r="R12" s="126">
        <v>6624</v>
      </c>
      <c r="S12" s="109">
        <f t="shared" ref="S12:S13" si="1">SUM(C12:R12)</f>
        <v>401342</v>
      </c>
      <c r="T12" s="109"/>
    </row>
    <row r="13" spans="1:24" ht="21" hidden="1">
      <c r="A13" s="104" t="s">
        <v>93</v>
      </c>
      <c r="B13" s="90" t="s">
        <v>1</v>
      </c>
      <c r="C13" s="11">
        <v>106000</v>
      </c>
      <c r="D13" s="19">
        <v>79408</v>
      </c>
      <c r="E13" s="19"/>
      <c r="F13" s="23">
        <v>13600</v>
      </c>
      <c r="G13" s="11">
        <v>12880</v>
      </c>
      <c r="H13" s="23">
        <v>62100</v>
      </c>
      <c r="I13" s="11">
        <v>15232</v>
      </c>
      <c r="J13" s="23">
        <v>14896</v>
      </c>
      <c r="K13" s="11">
        <v>5344</v>
      </c>
      <c r="L13" s="23">
        <v>26816</v>
      </c>
      <c r="M13" s="28">
        <v>7050</v>
      </c>
      <c r="N13" s="131"/>
      <c r="O13" s="114">
        <v>21330</v>
      </c>
      <c r="P13" s="107">
        <v>393</v>
      </c>
      <c r="Q13" s="131"/>
      <c r="R13" s="136">
        <v>5028</v>
      </c>
      <c r="S13" s="118">
        <f t="shared" si="1"/>
        <v>370077</v>
      </c>
      <c r="T13" s="115">
        <f>S12-S13</f>
        <v>31265</v>
      </c>
      <c r="U13" t="s">
        <v>71</v>
      </c>
    </row>
    <row r="14" spans="1:24" ht="21" hidden="1">
      <c r="A14" s="112">
        <v>24990</v>
      </c>
      <c r="B14" s="35" t="s">
        <v>0</v>
      </c>
      <c r="C14" s="16">
        <v>94400</v>
      </c>
      <c r="D14" s="18">
        <v>75040</v>
      </c>
      <c r="E14" s="18">
        <v>15200</v>
      </c>
      <c r="F14" s="17">
        <v>12800</v>
      </c>
      <c r="G14" s="16">
        <v>14560</v>
      </c>
      <c r="H14" s="17">
        <v>59400</v>
      </c>
      <c r="I14" s="16">
        <v>13440</v>
      </c>
      <c r="J14" s="17">
        <v>13440</v>
      </c>
      <c r="K14" s="16">
        <v>8384</v>
      </c>
      <c r="L14" s="17">
        <v>23072</v>
      </c>
      <c r="M14" s="16">
        <v>10200</v>
      </c>
      <c r="N14" s="106" t="s">
        <v>70</v>
      </c>
      <c r="O14" s="79">
        <v>18640</v>
      </c>
      <c r="P14" s="132" t="s">
        <v>70</v>
      </c>
      <c r="Q14" s="106" t="s">
        <v>70</v>
      </c>
      <c r="R14" s="126">
        <v>0</v>
      </c>
      <c r="S14" s="134">
        <f t="shared" ref="S14:S15" si="2">SUM(C14:R14)</f>
        <v>358576</v>
      </c>
      <c r="T14" s="109">
        <f>S14-E14</f>
        <v>343376</v>
      </c>
      <c r="X14">
        <v>5600</v>
      </c>
    </row>
    <row r="15" spans="1:24" ht="21" hidden="1">
      <c r="A15" s="104" t="s">
        <v>94</v>
      </c>
      <c r="B15" s="90" t="s">
        <v>1</v>
      </c>
      <c r="C15" s="11">
        <v>112600</v>
      </c>
      <c r="D15" s="19">
        <v>69384</v>
      </c>
      <c r="E15" s="19"/>
      <c r="F15" s="23">
        <v>12800</v>
      </c>
      <c r="G15" s="11">
        <v>14560</v>
      </c>
      <c r="H15" s="23">
        <v>57000</v>
      </c>
      <c r="I15" s="11">
        <v>13440</v>
      </c>
      <c r="J15" s="23">
        <v>13440</v>
      </c>
      <c r="K15" s="11">
        <v>10616</v>
      </c>
      <c r="L15" s="23">
        <v>22048</v>
      </c>
      <c r="M15" s="11">
        <v>10200</v>
      </c>
      <c r="N15" s="107" t="s">
        <v>70</v>
      </c>
      <c r="O15" s="129">
        <v>33075</v>
      </c>
      <c r="P15" s="133">
        <v>393</v>
      </c>
      <c r="Q15" s="107" t="s">
        <v>70</v>
      </c>
      <c r="R15" s="114">
        <v>0</v>
      </c>
      <c r="S15" s="135">
        <f t="shared" si="2"/>
        <v>369556</v>
      </c>
      <c r="T15" s="138">
        <f>S15-S14</f>
        <v>10980</v>
      </c>
      <c r="U15" t="s">
        <v>97</v>
      </c>
      <c r="X15">
        <v>3600</v>
      </c>
    </row>
    <row r="16" spans="1:24" ht="21" hidden="1">
      <c r="A16" s="112">
        <v>25020</v>
      </c>
      <c r="B16" s="35" t="s">
        <v>0</v>
      </c>
      <c r="C16" s="12">
        <v>100000</v>
      </c>
      <c r="D16" s="14">
        <v>78848</v>
      </c>
      <c r="E16" s="14">
        <v>18400</v>
      </c>
      <c r="F16" s="13">
        <v>11200</v>
      </c>
      <c r="G16" s="16">
        <v>15680</v>
      </c>
      <c r="H16" s="17">
        <v>57300</v>
      </c>
      <c r="I16" s="16">
        <v>13440</v>
      </c>
      <c r="J16" s="17">
        <v>11648</v>
      </c>
      <c r="K16" s="16">
        <v>5664</v>
      </c>
      <c r="L16" s="17">
        <v>21248</v>
      </c>
      <c r="M16" s="74">
        <v>10050</v>
      </c>
      <c r="N16" s="131" t="s">
        <v>70</v>
      </c>
      <c r="O16" s="108">
        <v>18400</v>
      </c>
      <c r="P16" s="106" t="s">
        <v>70</v>
      </c>
      <c r="Q16" s="131" t="s">
        <v>70</v>
      </c>
      <c r="R16" s="136">
        <v>0</v>
      </c>
      <c r="S16" s="109">
        <f t="shared" ref="S16:S17" si="3">SUM(C16:R16)</f>
        <v>361878</v>
      </c>
      <c r="T16" s="109">
        <f>S16-E16</f>
        <v>343478</v>
      </c>
      <c r="X16">
        <v>5600</v>
      </c>
    </row>
    <row r="17" spans="1:24" ht="21" hidden="1">
      <c r="A17" s="104" t="s">
        <v>95</v>
      </c>
      <c r="B17" s="90" t="s">
        <v>1</v>
      </c>
      <c r="C17" s="11">
        <v>116800</v>
      </c>
      <c r="D17" s="19">
        <v>74760</v>
      </c>
      <c r="E17" s="19">
        <v>0</v>
      </c>
      <c r="F17" s="23">
        <v>11200</v>
      </c>
      <c r="G17" s="11">
        <v>15680</v>
      </c>
      <c r="H17" s="23">
        <v>54300</v>
      </c>
      <c r="I17" s="11">
        <v>14784</v>
      </c>
      <c r="J17" s="23">
        <v>11760</v>
      </c>
      <c r="K17" s="11">
        <v>5840</v>
      </c>
      <c r="L17" s="23">
        <v>20448</v>
      </c>
      <c r="M17" s="28">
        <v>9900</v>
      </c>
      <c r="N17" s="114">
        <v>1917</v>
      </c>
      <c r="O17" s="114">
        <v>29930</v>
      </c>
      <c r="P17" s="131"/>
      <c r="Q17" s="107"/>
      <c r="R17" s="107"/>
      <c r="S17" s="118">
        <f t="shared" si="3"/>
        <v>367319</v>
      </c>
      <c r="T17" s="138">
        <f>S17-S16</f>
        <v>5441</v>
      </c>
      <c r="U17" t="s">
        <v>97</v>
      </c>
      <c r="X17">
        <v>3600</v>
      </c>
    </row>
    <row r="18" spans="1:24" ht="21" hidden="1">
      <c r="A18" s="112">
        <v>25051</v>
      </c>
      <c r="B18" s="35" t="s">
        <v>0</v>
      </c>
      <c r="C18" s="12">
        <v>112000</v>
      </c>
      <c r="D18" s="14">
        <v>76664</v>
      </c>
      <c r="E18" s="14">
        <v>12000</v>
      </c>
      <c r="F18" s="13">
        <v>12800</v>
      </c>
      <c r="G18" s="16">
        <v>16128</v>
      </c>
      <c r="H18" s="17">
        <v>62600</v>
      </c>
      <c r="I18" s="16">
        <v>13440</v>
      </c>
      <c r="J18" s="17">
        <v>12768</v>
      </c>
      <c r="K18" s="16">
        <v>11760</v>
      </c>
      <c r="L18" s="17">
        <v>26944</v>
      </c>
      <c r="M18" s="74">
        <v>8400</v>
      </c>
      <c r="N18" s="106" t="s">
        <v>70</v>
      </c>
      <c r="O18" s="127">
        <v>6720</v>
      </c>
      <c r="P18" s="106" t="s">
        <v>70</v>
      </c>
      <c r="Q18" s="106" t="s">
        <v>70</v>
      </c>
      <c r="R18" s="126">
        <v>0</v>
      </c>
      <c r="S18" s="109">
        <f t="shared" ref="S18:S19" si="4">SUM(C18:R18)</f>
        <v>372224</v>
      </c>
      <c r="T18" s="109">
        <f>S18-E18</f>
        <v>360224</v>
      </c>
    </row>
    <row r="19" spans="1:24" ht="21" hidden="1">
      <c r="A19" s="104" t="s">
        <v>101</v>
      </c>
      <c r="B19" s="90" t="s">
        <v>1</v>
      </c>
      <c r="C19" s="11">
        <v>125380</v>
      </c>
      <c r="D19" s="19">
        <v>69328</v>
      </c>
      <c r="E19" s="19"/>
      <c r="F19" s="23">
        <v>13600</v>
      </c>
      <c r="G19" s="11">
        <v>16128</v>
      </c>
      <c r="H19" s="23">
        <v>61500</v>
      </c>
      <c r="I19" s="11">
        <v>13440</v>
      </c>
      <c r="J19" s="23">
        <v>12936</v>
      </c>
      <c r="K19" s="11">
        <v>12560</v>
      </c>
      <c r="L19" s="23">
        <v>27548</v>
      </c>
      <c r="M19" s="28">
        <v>8400</v>
      </c>
      <c r="N19" s="107" t="s">
        <v>70</v>
      </c>
      <c r="O19" s="128">
        <v>12295</v>
      </c>
      <c r="P19" s="107" t="s">
        <v>70</v>
      </c>
      <c r="Q19" s="107" t="s">
        <v>70</v>
      </c>
      <c r="R19" s="114">
        <v>0</v>
      </c>
      <c r="S19" s="118">
        <f t="shared" si="4"/>
        <v>373115</v>
      </c>
      <c r="T19" s="138">
        <f>S19-S18</f>
        <v>891</v>
      </c>
      <c r="U19" t="s">
        <v>97</v>
      </c>
    </row>
    <row r="20" spans="1:24" ht="21" hidden="1">
      <c r="A20" s="112">
        <v>25082</v>
      </c>
      <c r="B20" s="35" t="s">
        <v>0</v>
      </c>
      <c r="C20" s="12">
        <v>88000</v>
      </c>
      <c r="D20" s="14">
        <v>64064</v>
      </c>
      <c r="E20" s="14">
        <v>14400</v>
      </c>
      <c r="F20" s="13">
        <v>12000</v>
      </c>
      <c r="G20" s="16">
        <v>16128</v>
      </c>
      <c r="H20" s="17">
        <v>57600</v>
      </c>
      <c r="I20" s="16">
        <v>11200</v>
      </c>
      <c r="J20" s="17">
        <v>12320</v>
      </c>
      <c r="K20" s="16">
        <v>12608</v>
      </c>
      <c r="L20" s="17">
        <v>25232</v>
      </c>
      <c r="M20" s="74">
        <v>7500</v>
      </c>
      <c r="N20" s="131" t="s">
        <v>70</v>
      </c>
      <c r="O20" s="108">
        <v>13200</v>
      </c>
      <c r="P20" s="131" t="s">
        <v>70</v>
      </c>
      <c r="Q20" s="131" t="s">
        <v>70</v>
      </c>
      <c r="R20" s="136">
        <v>0</v>
      </c>
      <c r="S20" s="109">
        <f t="shared" ref="S20" si="5">SUM(C20:R20)</f>
        <v>334252</v>
      </c>
      <c r="T20" s="109">
        <f>S20-E20</f>
        <v>319852</v>
      </c>
    </row>
    <row r="21" spans="1:24" ht="21" hidden="1">
      <c r="A21" s="104" t="s">
        <v>102</v>
      </c>
      <c r="B21" s="90" t="s">
        <v>1</v>
      </c>
      <c r="C21" s="11">
        <v>105900</v>
      </c>
      <c r="D21" s="19">
        <v>59192</v>
      </c>
      <c r="E21" s="19"/>
      <c r="F21" s="23">
        <v>12000</v>
      </c>
      <c r="G21" s="11">
        <v>16128</v>
      </c>
      <c r="H21" s="23">
        <v>57300</v>
      </c>
      <c r="I21" s="11">
        <v>11200</v>
      </c>
      <c r="J21" s="23">
        <v>11648</v>
      </c>
      <c r="K21" s="11">
        <v>7200</v>
      </c>
      <c r="L21" s="23">
        <v>25232</v>
      </c>
      <c r="M21" s="28">
        <v>7500</v>
      </c>
      <c r="N21" s="107"/>
      <c r="O21" s="114">
        <v>17125</v>
      </c>
      <c r="P21" s="107"/>
      <c r="Q21" s="107"/>
      <c r="R21" s="114">
        <v>13996</v>
      </c>
      <c r="S21" s="140">
        <f>SUM(C21:R21)</f>
        <v>344421</v>
      </c>
      <c r="T21" s="139">
        <f>S21-S20</f>
        <v>10169</v>
      </c>
      <c r="U21" t="s">
        <v>97</v>
      </c>
    </row>
    <row r="22" spans="1:24" ht="21" hidden="1">
      <c r="A22" s="112">
        <v>25112</v>
      </c>
      <c r="B22" s="35" t="s">
        <v>0</v>
      </c>
      <c r="C22" s="12">
        <v>108400</v>
      </c>
      <c r="D22" s="14">
        <v>62944</v>
      </c>
      <c r="E22" s="14"/>
      <c r="F22" s="13">
        <v>24000</v>
      </c>
      <c r="G22" s="16">
        <v>16128</v>
      </c>
      <c r="H22" s="17">
        <v>57000</v>
      </c>
      <c r="I22" s="16">
        <v>14784</v>
      </c>
      <c r="J22" s="17">
        <v>12992</v>
      </c>
      <c r="K22" s="16">
        <v>10864</v>
      </c>
      <c r="L22" s="17">
        <v>30432</v>
      </c>
      <c r="M22" s="74">
        <v>12000</v>
      </c>
      <c r="N22" s="106" t="s">
        <v>70</v>
      </c>
      <c r="O22" s="108">
        <v>14800</v>
      </c>
      <c r="P22" s="106" t="s">
        <v>70</v>
      </c>
      <c r="Q22" s="106" t="s">
        <v>70</v>
      </c>
      <c r="R22" s="126">
        <v>0</v>
      </c>
      <c r="S22" s="109">
        <f t="shared" ref="S22:S23" si="6">SUM(C22:R22)</f>
        <v>364344</v>
      </c>
      <c r="T22" s="109">
        <f>S22-E22</f>
        <v>364344</v>
      </c>
    </row>
    <row r="23" spans="1:24" ht="21" hidden="1">
      <c r="A23" s="104" t="s">
        <v>104</v>
      </c>
      <c r="B23" s="90" t="s">
        <v>1</v>
      </c>
      <c r="C23" s="11">
        <v>103100</v>
      </c>
      <c r="D23" s="19">
        <v>61768</v>
      </c>
      <c r="E23" s="19"/>
      <c r="F23" s="23">
        <v>24000</v>
      </c>
      <c r="G23" s="11">
        <v>17024</v>
      </c>
      <c r="H23" s="23">
        <v>56700</v>
      </c>
      <c r="I23" s="11">
        <v>12936</v>
      </c>
      <c r="J23" s="23">
        <v>13440</v>
      </c>
      <c r="K23" s="11">
        <v>10240</v>
      </c>
      <c r="L23" s="23">
        <v>30508</v>
      </c>
      <c r="M23" s="28">
        <v>12000</v>
      </c>
      <c r="N23" s="107" t="s">
        <v>70</v>
      </c>
      <c r="O23" s="114">
        <v>10950</v>
      </c>
      <c r="P23" s="107" t="s">
        <v>70</v>
      </c>
      <c r="Q23" s="107" t="s">
        <v>70</v>
      </c>
      <c r="R23" s="107" t="s">
        <v>70</v>
      </c>
      <c r="S23" s="118">
        <f t="shared" si="6"/>
        <v>352666</v>
      </c>
      <c r="T23" s="142">
        <f>T22-S23</f>
        <v>11678</v>
      </c>
      <c r="U23" s="105" t="s">
        <v>71</v>
      </c>
    </row>
    <row r="24" spans="1:24" ht="21" hidden="1">
      <c r="A24" s="112">
        <v>25143</v>
      </c>
      <c r="B24" s="35" t="s">
        <v>0</v>
      </c>
      <c r="C24" s="12">
        <v>107600</v>
      </c>
      <c r="D24" s="14">
        <v>60704</v>
      </c>
      <c r="E24" s="14"/>
      <c r="F24" s="13">
        <v>24800</v>
      </c>
      <c r="G24" s="16">
        <v>17024</v>
      </c>
      <c r="H24" s="17">
        <v>58800</v>
      </c>
      <c r="I24" s="16">
        <v>14000</v>
      </c>
      <c r="J24" s="17">
        <v>12488</v>
      </c>
      <c r="K24" s="16">
        <v>12608</v>
      </c>
      <c r="L24" s="17">
        <v>25488</v>
      </c>
      <c r="M24" s="74">
        <v>10800</v>
      </c>
      <c r="N24" s="131"/>
      <c r="O24" s="141">
        <v>14960</v>
      </c>
      <c r="P24" s="131" t="s">
        <v>70</v>
      </c>
      <c r="Q24" s="131" t="s">
        <v>70</v>
      </c>
      <c r="R24" s="136">
        <v>0</v>
      </c>
      <c r="S24" s="109">
        <f>SUM(C24:R24)</f>
        <v>359272</v>
      </c>
      <c r="T24" s="109">
        <f>S24-E24</f>
        <v>359272</v>
      </c>
    </row>
    <row r="25" spans="1:24" ht="21" hidden="1">
      <c r="A25" s="104" t="s">
        <v>106</v>
      </c>
      <c r="B25" s="90" t="s">
        <v>1</v>
      </c>
      <c r="C25" s="11">
        <v>106700</v>
      </c>
      <c r="D25" s="19">
        <v>52920</v>
      </c>
      <c r="E25" s="19"/>
      <c r="F25" s="23">
        <v>24800</v>
      </c>
      <c r="G25" s="11">
        <v>17024</v>
      </c>
      <c r="H25" s="23">
        <v>58800</v>
      </c>
      <c r="I25" s="11">
        <v>13944</v>
      </c>
      <c r="J25" s="23">
        <v>9184</v>
      </c>
      <c r="K25" s="11">
        <v>8248</v>
      </c>
      <c r="L25" s="23">
        <v>25488</v>
      </c>
      <c r="M25" s="28">
        <v>10800</v>
      </c>
      <c r="N25" s="107">
        <v>785</v>
      </c>
      <c r="O25" s="114">
        <v>16275</v>
      </c>
      <c r="P25" s="131" t="s">
        <v>70</v>
      </c>
      <c r="Q25" s="131" t="s">
        <v>70</v>
      </c>
      <c r="R25" s="114">
        <v>6600</v>
      </c>
      <c r="S25" s="118">
        <f>SUM(C25:R25)</f>
        <v>351568</v>
      </c>
      <c r="T25" s="142">
        <f>S24-S25</f>
        <v>7704</v>
      </c>
      <c r="U25" s="105" t="s">
        <v>71</v>
      </c>
    </row>
    <row r="26" spans="1:24" ht="21">
      <c r="A26" s="112">
        <v>25173</v>
      </c>
      <c r="B26" s="35" t="s">
        <v>0</v>
      </c>
      <c r="C26" s="12">
        <v>122400</v>
      </c>
      <c r="D26" s="14">
        <v>49952</v>
      </c>
      <c r="E26" s="14"/>
      <c r="F26" s="13">
        <v>24000</v>
      </c>
      <c r="G26" s="16">
        <v>17024</v>
      </c>
      <c r="H26" s="17">
        <v>60300</v>
      </c>
      <c r="I26" s="16">
        <v>15008</v>
      </c>
      <c r="J26" s="17">
        <v>14392</v>
      </c>
      <c r="K26" s="16">
        <v>13536</v>
      </c>
      <c r="L26" s="17">
        <v>28960</v>
      </c>
      <c r="M26" s="74">
        <v>6000</v>
      </c>
      <c r="N26" s="131"/>
      <c r="O26" s="141">
        <v>14480</v>
      </c>
      <c r="P26" s="131" t="s">
        <v>70</v>
      </c>
      <c r="Q26" s="131" t="s">
        <v>70</v>
      </c>
      <c r="R26" s="136">
        <v>0</v>
      </c>
      <c r="S26" s="117">
        <f>SUM(C26:R26)</f>
        <v>366052</v>
      </c>
      <c r="T26" s="109">
        <f>S26-E26</f>
        <v>366052</v>
      </c>
    </row>
    <row r="27" spans="1:24" ht="21">
      <c r="A27" s="104" t="s">
        <v>109</v>
      </c>
      <c r="B27" s="90" t="s">
        <v>1</v>
      </c>
      <c r="C27" s="11">
        <v>102900</v>
      </c>
      <c r="D27" s="19">
        <v>56728</v>
      </c>
      <c r="E27" s="19"/>
      <c r="F27" s="23">
        <v>24000</v>
      </c>
      <c r="G27" s="11">
        <v>17024</v>
      </c>
      <c r="H27" s="23">
        <v>60300</v>
      </c>
      <c r="I27" s="11">
        <v>15064</v>
      </c>
      <c r="J27" s="23">
        <v>12096</v>
      </c>
      <c r="K27" s="11">
        <v>13112</v>
      </c>
      <c r="L27" s="23">
        <v>28960</v>
      </c>
      <c r="M27" s="28">
        <v>6000</v>
      </c>
      <c r="N27" s="107"/>
      <c r="O27" s="114">
        <v>10965</v>
      </c>
      <c r="P27" s="107"/>
      <c r="Q27" s="114">
        <v>1504</v>
      </c>
      <c r="R27" s="107">
        <v>928</v>
      </c>
      <c r="S27" s="118">
        <f>SUM(C27:R27)</f>
        <v>349581</v>
      </c>
      <c r="T27" s="144">
        <f>S26-S27</f>
        <v>16471</v>
      </c>
      <c r="U27" s="105" t="s">
        <v>71</v>
      </c>
    </row>
    <row r="28" spans="1:24" ht="21">
      <c r="A28" s="112">
        <v>244350</v>
      </c>
      <c r="B28" s="35" t="s">
        <v>0</v>
      </c>
      <c r="C28" s="12">
        <v>124800</v>
      </c>
      <c r="D28" s="14">
        <v>56672</v>
      </c>
      <c r="E28" s="14"/>
      <c r="F28" s="13">
        <v>24800</v>
      </c>
      <c r="G28" s="16">
        <v>17027</v>
      </c>
      <c r="H28" s="17">
        <v>57600</v>
      </c>
      <c r="I28" s="16">
        <v>13104</v>
      </c>
      <c r="J28" s="17">
        <v>17976</v>
      </c>
      <c r="K28" s="16">
        <v>11808</v>
      </c>
      <c r="L28" s="17">
        <v>28160</v>
      </c>
      <c r="M28" s="74">
        <v>7200</v>
      </c>
      <c r="N28" s="131" t="s">
        <v>70</v>
      </c>
      <c r="O28" s="141">
        <v>15560</v>
      </c>
      <c r="P28" s="131" t="s">
        <v>70</v>
      </c>
      <c r="Q28" s="131" t="s">
        <v>70</v>
      </c>
      <c r="R28" s="136">
        <v>0</v>
      </c>
      <c r="S28" s="143">
        <f t="shared" ref="S28" si="7">SUM(C28:R28)</f>
        <v>374707</v>
      </c>
      <c r="T28" s="109">
        <f>S28-E28</f>
        <v>374707</v>
      </c>
    </row>
    <row r="29" spans="1:24" ht="21">
      <c r="A29" s="104" t="s">
        <v>113</v>
      </c>
      <c r="B29" s="90" t="s">
        <v>1</v>
      </c>
      <c r="C29" s="11">
        <v>107200</v>
      </c>
      <c r="D29" s="19">
        <v>66360</v>
      </c>
      <c r="E29" s="19"/>
      <c r="F29" s="23">
        <v>24800</v>
      </c>
      <c r="G29" s="11">
        <v>17024</v>
      </c>
      <c r="H29" s="23">
        <v>54300</v>
      </c>
      <c r="I29" s="11">
        <v>13552</v>
      </c>
      <c r="J29" s="23">
        <v>14840</v>
      </c>
      <c r="K29" s="11">
        <v>13304</v>
      </c>
      <c r="L29" s="23">
        <v>27648</v>
      </c>
      <c r="M29" s="28">
        <v>7200</v>
      </c>
      <c r="N29" s="107"/>
      <c r="O29" s="114">
        <v>12425</v>
      </c>
      <c r="P29" s="107"/>
      <c r="Q29" s="107">
        <v>249</v>
      </c>
      <c r="R29" s="107"/>
      <c r="S29" s="146">
        <f t="shared" ref="S29:S34" si="8">SUM(C29:R29)</f>
        <v>358902</v>
      </c>
      <c r="T29" s="142">
        <f>S28-S29</f>
        <v>15805</v>
      </c>
      <c r="U29" s="105" t="s">
        <v>71</v>
      </c>
    </row>
    <row r="30" spans="1:24" ht="21">
      <c r="A30" s="112">
        <v>244381</v>
      </c>
      <c r="B30" s="35" t="s">
        <v>0</v>
      </c>
      <c r="C30" s="12">
        <v>128000</v>
      </c>
      <c r="D30" s="14">
        <v>49056</v>
      </c>
      <c r="E30" s="14"/>
      <c r="F30" s="13">
        <v>24800</v>
      </c>
      <c r="G30" s="16">
        <v>17024</v>
      </c>
      <c r="H30" s="17">
        <v>56100</v>
      </c>
      <c r="I30" s="16">
        <v>11424</v>
      </c>
      <c r="J30" s="17">
        <v>15792</v>
      </c>
      <c r="K30" s="16">
        <v>14576</v>
      </c>
      <c r="L30" s="17">
        <v>25136</v>
      </c>
      <c r="M30" s="74">
        <v>4800</v>
      </c>
      <c r="N30" s="131"/>
      <c r="O30" s="141">
        <v>14480</v>
      </c>
      <c r="P30" s="131" t="s">
        <v>70</v>
      </c>
      <c r="Q30" s="131" t="s">
        <v>70</v>
      </c>
      <c r="R30" s="136">
        <v>0</v>
      </c>
      <c r="S30" s="109">
        <f t="shared" si="8"/>
        <v>361188</v>
      </c>
      <c r="T30" s="117">
        <f>S30-E30</f>
        <v>361188</v>
      </c>
    </row>
    <row r="31" spans="1:24" ht="21">
      <c r="A31" s="104" t="s">
        <v>114</v>
      </c>
      <c r="B31" s="90" t="s">
        <v>1</v>
      </c>
      <c r="C31" s="11">
        <v>104500</v>
      </c>
      <c r="D31" s="19">
        <v>43736</v>
      </c>
      <c r="E31" s="19"/>
      <c r="F31" s="23">
        <v>24800</v>
      </c>
      <c r="G31" s="11">
        <v>13104</v>
      </c>
      <c r="H31" s="23">
        <v>51900</v>
      </c>
      <c r="I31" s="11">
        <v>10808</v>
      </c>
      <c r="J31" s="23">
        <v>15008</v>
      </c>
      <c r="K31" s="11">
        <v>12784</v>
      </c>
      <c r="L31" s="23">
        <v>25112</v>
      </c>
      <c r="M31" s="28">
        <v>4800</v>
      </c>
      <c r="N31" s="114">
        <v>1320</v>
      </c>
      <c r="O31" s="114">
        <v>11585</v>
      </c>
      <c r="P31" s="107"/>
      <c r="Q31" s="107">
        <v>619</v>
      </c>
      <c r="R31" s="107"/>
      <c r="S31" s="154">
        <f t="shared" si="8"/>
        <v>320076</v>
      </c>
      <c r="T31" s="145">
        <f>S30-S31</f>
        <v>41112</v>
      </c>
      <c r="U31" s="105" t="s">
        <v>71</v>
      </c>
    </row>
    <row r="32" spans="1:24" ht="21">
      <c r="A32" s="112">
        <v>244409</v>
      </c>
      <c r="B32" s="35" t="s">
        <v>0</v>
      </c>
      <c r="C32" s="12">
        <v>92800</v>
      </c>
      <c r="D32" s="14">
        <v>52752</v>
      </c>
      <c r="E32" s="14"/>
      <c r="F32" s="13">
        <v>22400</v>
      </c>
      <c r="G32" s="16">
        <v>18256</v>
      </c>
      <c r="H32" s="17">
        <v>55200</v>
      </c>
      <c r="I32" s="16">
        <v>15232</v>
      </c>
      <c r="J32" s="17">
        <v>16184</v>
      </c>
      <c r="K32" s="16">
        <v>12256</v>
      </c>
      <c r="L32" s="17">
        <v>20320</v>
      </c>
      <c r="M32" s="74">
        <v>10800</v>
      </c>
      <c r="N32" s="131"/>
      <c r="O32" s="141">
        <v>14480</v>
      </c>
      <c r="P32" s="131" t="s">
        <v>70</v>
      </c>
      <c r="Q32" s="131" t="s">
        <v>70</v>
      </c>
      <c r="R32" s="136">
        <v>0</v>
      </c>
      <c r="S32" s="109">
        <f t="shared" si="8"/>
        <v>330680</v>
      </c>
      <c r="T32" s="147"/>
      <c r="U32" s="105"/>
    </row>
    <row r="33" spans="1:21" ht="21">
      <c r="A33" s="104" t="s">
        <v>115</v>
      </c>
      <c r="B33" s="90" t="s">
        <v>1</v>
      </c>
      <c r="C33" s="11">
        <v>92500</v>
      </c>
      <c r="D33" s="19">
        <v>55608</v>
      </c>
      <c r="E33" s="19"/>
      <c r="F33" s="23">
        <v>22400</v>
      </c>
      <c r="G33" s="11">
        <v>15680</v>
      </c>
      <c r="H33" s="23">
        <v>55500</v>
      </c>
      <c r="I33" s="11">
        <v>15456</v>
      </c>
      <c r="J33" s="23">
        <v>16184</v>
      </c>
      <c r="K33" s="11">
        <v>11136</v>
      </c>
      <c r="L33" s="23">
        <v>20632</v>
      </c>
      <c r="M33" s="28">
        <v>10800</v>
      </c>
      <c r="N33" s="107"/>
      <c r="O33" s="114">
        <v>11540</v>
      </c>
      <c r="P33" s="107"/>
      <c r="Q33" s="107"/>
      <c r="R33" s="107"/>
      <c r="S33" s="118">
        <f t="shared" si="8"/>
        <v>327436</v>
      </c>
      <c r="T33" s="148">
        <f>S32-S33</f>
        <v>3244</v>
      </c>
      <c r="U33" s="105" t="s">
        <v>71</v>
      </c>
    </row>
    <row r="34" spans="1:21" ht="21">
      <c r="A34" s="112">
        <v>244440</v>
      </c>
      <c r="B34" s="35" t="s">
        <v>0</v>
      </c>
      <c r="C34" s="12">
        <v>108800</v>
      </c>
      <c r="D34" s="14">
        <v>76832</v>
      </c>
      <c r="E34" s="14"/>
      <c r="F34" s="13">
        <v>24800</v>
      </c>
      <c r="G34" s="16">
        <v>15232</v>
      </c>
      <c r="H34" s="17">
        <v>62400</v>
      </c>
      <c r="I34" s="16">
        <v>16128</v>
      </c>
      <c r="J34" s="17">
        <v>19656</v>
      </c>
      <c r="K34" s="16">
        <v>11136</v>
      </c>
      <c r="L34" s="17">
        <v>26976</v>
      </c>
      <c r="M34" s="74">
        <v>6000</v>
      </c>
      <c r="N34" s="131"/>
      <c r="O34" s="141">
        <v>15824</v>
      </c>
      <c r="P34" s="131" t="s">
        <v>70</v>
      </c>
      <c r="Q34" s="131" t="s">
        <v>70</v>
      </c>
      <c r="R34" s="136">
        <v>0</v>
      </c>
      <c r="S34" s="109">
        <f t="shared" si="8"/>
        <v>383784</v>
      </c>
      <c r="T34" s="117"/>
    </row>
    <row r="35" spans="1:21" ht="21">
      <c r="A35" s="104" t="s">
        <v>116</v>
      </c>
      <c r="B35" s="90" t="s">
        <v>1</v>
      </c>
      <c r="C35" s="11">
        <v>96420</v>
      </c>
      <c r="D35" s="19">
        <v>73976</v>
      </c>
      <c r="E35" s="19"/>
      <c r="F35" s="23">
        <v>24800</v>
      </c>
      <c r="G35" s="11">
        <v>15232</v>
      </c>
      <c r="H35" s="23">
        <v>62700</v>
      </c>
      <c r="I35" s="11">
        <v>17024</v>
      </c>
      <c r="J35" s="23">
        <v>19152</v>
      </c>
      <c r="K35" s="11">
        <v>12032</v>
      </c>
      <c r="L35" s="23">
        <v>25376</v>
      </c>
      <c r="M35" s="28">
        <v>3600</v>
      </c>
      <c r="N35" s="107"/>
      <c r="O35" s="114">
        <v>16310</v>
      </c>
      <c r="P35" s="107"/>
      <c r="Q35" s="107"/>
      <c r="R35" s="107"/>
      <c r="S35" s="117">
        <f>SUM(C35:R35)</f>
        <v>366622</v>
      </c>
      <c r="T35" s="145">
        <f>S34-S35</f>
        <v>17162</v>
      </c>
      <c r="U35" s="105" t="s">
        <v>71</v>
      </c>
    </row>
    <row r="36" spans="1:21" ht="21">
      <c r="A36" s="112">
        <v>244470</v>
      </c>
      <c r="B36" s="35" t="s">
        <v>0</v>
      </c>
      <c r="C36" s="12">
        <v>126000</v>
      </c>
      <c r="D36" s="14">
        <v>50400</v>
      </c>
      <c r="E36" s="14"/>
      <c r="F36" s="13">
        <v>16400</v>
      </c>
      <c r="G36" s="16">
        <v>15232</v>
      </c>
      <c r="H36" s="17">
        <v>57300</v>
      </c>
      <c r="I36" s="16">
        <v>14952</v>
      </c>
      <c r="J36" s="17">
        <v>20384</v>
      </c>
      <c r="K36" s="16">
        <v>12400</v>
      </c>
      <c r="L36" s="17">
        <v>21408</v>
      </c>
      <c r="M36" s="74">
        <v>0</v>
      </c>
      <c r="N36" s="74">
        <v>0</v>
      </c>
      <c r="O36" s="141">
        <v>14480</v>
      </c>
      <c r="P36" s="131" t="s">
        <v>70</v>
      </c>
      <c r="Q36" s="131" t="s">
        <v>70</v>
      </c>
      <c r="R36" s="155">
        <v>0</v>
      </c>
      <c r="S36" s="109">
        <f t="shared" ref="S36:S37" si="9">SUM(C36:R36)</f>
        <v>348956</v>
      </c>
      <c r="T36" s="117"/>
    </row>
    <row r="37" spans="1:21" ht="21">
      <c r="A37" s="104" t="s">
        <v>118</v>
      </c>
      <c r="B37" s="90" t="s">
        <v>1</v>
      </c>
      <c r="C37" s="11">
        <v>103900</v>
      </c>
      <c r="D37" s="19">
        <v>50400</v>
      </c>
      <c r="E37" s="19"/>
      <c r="F37" s="23">
        <v>16800</v>
      </c>
      <c r="G37" s="11">
        <v>15232</v>
      </c>
      <c r="H37" s="23">
        <v>55800</v>
      </c>
      <c r="I37" s="11">
        <v>14952</v>
      </c>
      <c r="J37" s="23">
        <v>19544</v>
      </c>
      <c r="K37" s="11">
        <v>13848</v>
      </c>
      <c r="L37" s="23">
        <v>20388</v>
      </c>
      <c r="M37" s="28">
        <v>0</v>
      </c>
      <c r="N37" s="28">
        <v>0</v>
      </c>
      <c r="O37" s="107">
        <v>15180</v>
      </c>
      <c r="P37" s="107"/>
      <c r="Q37" s="107"/>
      <c r="R37" s="133"/>
      <c r="S37" s="118">
        <f t="shared" si="9"/>
        <v>326044</v>
      </c>
      <c r="T37" s="148">
        <f>S36-S37</f>
        <v>22912</v>
      </c>
      <c r="U37" s="105" t="s">
        <v>71</v>
      </c>
    </row>
    <row r="38" spans="1:21" ht="21">
      <c r="A38" s="112">
        <v>244501</v>
      </c>
      <c r="B38" s="35" t="s">
        <v>0</v>
      </c>
      <c r="C38" s="12">
        <v>116400</v>
      </c>
      <c r="D38" s="14">
        <v>60256</v>
      </c>
      <c r="E38" s="14"/>
      <c r="F38" s="13">
        <v>14800</v>
      </c>
      <c r="G38" s="16">
        <v>15680</v>
      </c>
      <c r="H38" s="17">
        <v>51600</v>
      </c>
      <c r="I38" s="16">
        <v>14560</v>
      </c>
      <c r="J38" s="17">
        <v>17696</v>
      </c>
      <c r="K38" s="16">
        <v>17616</v>
      </c>
      <c r="L38" s="17">
        <v>19480</v>
      </c>
      <c r="M38" s="74">
        <v>6000</v>
      </c>
      <c r="N38" s="15">
        <v>0</v>
      </c>
      <c r="O38" s="141">
        <v>10480</v>
      </c>
      <c r="P38" s="106" t="s">
        <v>70</v>
      </c>
      <c r="Q38" s="106" t="s">
        <v>70</v>
      </c>
      <c r="R38" s="126">
        <v>0</v>
      </c>
      <c r="S38" s="109">
        <f t="shared" ref="S38:S39" si="10">SUM(C38:R38)</f>
        <v>344568</v>
      </c>
      <c r="T38" s="117"/>
    </row>
    <row r="39" spans="1:21" ht="21">
      <c r="A39" s="104" t="s">
        <v>125</v>
      </c>
      <c r="B39" s="90" t="s">
        <v>1</v>
      </c>
      <c r="C39" s="11">
        <v>98550</v>
      </c>
      <c r="D39" s="19">
        <v>68488</v>
      </c>
      <c r="E39" s="19"/>
      <c r="F39" s="23">
        <v>14800</v>
      </c>
      <c r="G39" s="11">
        <v>15680</v>
      </c>
      <c r="H39" s="23">
        <v>57000</v>
      </c>
      <c r="I39" s="11">
        <v>13832</v>
      </c>
      <c r="J39" s="23">
        <v>17136</v>
      </c>
      <c r="K39" s="11">
        <v>10000</v>
      </c>
      <c r="L39" s="23">
        <v>20576</v>
      </c>
      <c r="M39" s="28">
        <v>0</v>
      </c>
      <c r="N39" s="28">
        <v>0</v>
      </c>
      <c r="O39" s="114">
        <v>23258</v>
      </c>
      <c r="P39" s="107" t="s">
        <v>70</v>
      </c>
      <c r="Q39" s="107" t="s">
        <v>70</v>
      </c>
      <c r="R39" s="114">
        <v>0</v>
      </c>
      <c r="S39" s="118">
        <f t="shared" si="10"/>
        <v>339320</v>
      </c>
      <c r="T39" s="148">
        <f>S38-S39</f>
        <v>5248</v>
      </c>
      <c r="U39" s="105" t="s">
        <v>71</v>
      </c>
    </row>
    <row r="40" spans="1:21" ht="21">
      <c r="A40" s="112">
        <v>244531</v>
      </c>
      <c r="B40" s="35" t="s">
        <v>0</v>
      </c>
      <c r="C40" s="12">
        <v>119200</v>
      </c>
      <c r="D40" s="14">
        <v>62496</v>
      </c>
      <c r="E40" s="14"/>
      <c r="F40" s="13">
        <v>15400</v>
      </c>
      <c r="G40" s="16">
        <v>15232</v>
      </c>
      <c r="H40" s="17">
        <v>48000</v>
      </c>
      <c r="I40" s="12">
        <v>14560</v>
      </c>
      <c r="J40" s="13">
        <v>14168</v>
      </c>
      <c r="K40" s="12">
        <v>11856</v>
      </c>
      <c r="L40" s="13">
        <v>20832</v>
      </c>
      <c r="M40" s="74">
        <v>0</v>
      </c>
      <c r="N40" s="74">
        <v>0</v>
      </c>
      <c r="O40" s="141">
        <v>10560</v>
      </c>
      <c r="P40" s="131" t="s">
        <v>70</v>
      </c>
      <c r="Q40" s="131" t="s">
        <v>70</v>
      </c>
      <c r="R40" s="136">
        <v>0</v>
      </c>
      <c r="S40" s="109">
        <f t="shared" ref="S40:S41" si="11">SUM(C40:R40)</f>
        <v>332304</v>
      </c>
      <c r="T40" s="117"/>
    </row>
    <row r="41" spans="1:21" ht="21">
      <c r="A41" s="104" t="s">
        <v>126</v>
      </c>
      <c r="B41" s="90" t="s">
        <v>1</v>
      </c>
      <c r="C41" s="16">
        <v>114400</v>
      </c>
      <c r="D41" s="18">
        <v>66472</v>
      </c>
      <c r="E41" s="18"/>
      <c r="F41" s="17">
        <v>15600</v>
      </c>
      <c r="G41" s="11">
        <v>15232</v>
      </c>
      <c r="H41" s="23">
        <v>40800</v>
      </c>
      <c r="I41" s="11">
        <v>14560</v>
      </c>
      <c r="J41" s="23">
        <v>13272</v>
      </c>
      <c r="K41" s="11">
        <v>8400</v>
      </c>
      <c r="L41" s="23">
        <v>20832</v>
      </c>
      <c r="M41" s="28" t="s">
        <v>107</v>
      </c>
      <c r="N41" s="107"/>
      <c r="O41" s="114">
        <v>20324</v>
      </c>
      <c r="P41" s="107"/>
      <c r="Q41" s="114">
        <v>14258</v>
      </c>
      <c r="R41" s="118">
        <v>2008</v>
      </c>
      <c r="S41" s="118">
        <f t="shared" si="11"/>
        <v>346158</v>
      </c>
      <c r="T41" s="156">
        <f>S41-S40</f>
        <v>13854</v>
      </c>
      <c r="U41" t="s">
        <v>97</v>
      </c>
    </row>
    <row r="42" spans="1:21" ht="21">
      <c r="A42" s="112">
        <v>244562</v>
      </c>
      <c r="B42" s="22" t="s">
        <v>0</v>
      </c>
      <c r="C42" s="12">
        <v>138400</v>
      </c>
      <c r="D42" s="14">
        <v>82880</v>
      </c>
      <c r="E42" s="14"/>
      <c r="F42" s="13">
        <v>15600</v>
      </c>
      <c r="G42" s="18">
        <v>16128</v>
      </c>
      <c r="H42" s="17">
        <v>60300</v>
      </c>
      <c r="I42" s="16">
        <v>14896</v>
      </c>
      <c r="J42" s="17">
        <v>16744</v>
      </c>
      <c r="K42" s="16">
        <v>15872</v>
      </c>
      <c r="L42" s="17">
        <v>21776</v>
      </c>
      <c r="M42" s="74">
        <v>0</v>
      </c>
      <c r="N42" s="15">
        <v>0</v>
      </c>
      <c r="O42" s="141">
        <v>14480</v>
      </c>
      <c r="P42" s="106" t="s">
        <v>70</v>
      </c>
      <c r="Q42" s="131" t="s">
        <v>70</v>
      </c>
      <c r="R42" s="126">
        <v>0</v>
      </c>
      <c r="S42" s="109">
        <f t="shared" ref="S42:S43" si="12">SUM(C42:R42)</f>
        <v>397076</v>
      </c>
      <c r="T42" s="117"/>
    </row>
    <row r="43" spans="1:21" ht="21">
      <c r="A43" s="104" t="s">
        <v>132</v>
      </c>
      <c r="B43" s="10" t="s">
        <v>1</v>
      </c>
      <c r="C43" s="11">
        <v>124100</v>
      </c>
      <c r="D43" s="19">
        <v>75936</v>
      </c>
      <c r="E43" s="19"/>
      <c r="F43" s="23">
        <v>15600</v>
      </c>
      <c r="G43" s="19">
        <v>16128</v>
      </c>
      <c r="H43" s="23">
        <v>54900</v>
      </c>
      <c r="I43" s="11">
        <v>14896</v>
      </c>
      <c r="J43" s="23">
        <v>15344</v>
      </c>
      <c r="K43" s="11">
        <v>15144</v>
      </c>
      <c r="L43" s="23">
        <v>23444</v>
      </c>
      <c r="M43" s="28">
        <v>0</v>
      </c>
      <c r="N43" s="28">
        <v>0</v>
      </c>
      <c r="O43" s="107">
        <v>21331</v>
      </c>
      <c r="P43" s="107" t="s">
        <v>70</v>
      </c>
      <c r="Q43" s="114">
        <v>1991</v>
      </c>
      <c r="R43" s="114">
        <v>0</v>
      </c>
      <c r="S43" s="118">
        <f t="shared" si="12"/>
        <v>378814</v>
      </c>
      <c r="T43" s="148">
        <f>S42-S43</f>
        <v>18262</v>
      </c>
      <c r="U43" s="105" t="s">
        <v>71</v>
      </c>
    </row>
    <row r="44" spans="1:21" ht="21">
      <c r="A44" s="112">
        <v>244593</v>
      </c>
      <c r="B44" s="35" t="s">
        <v>0</v>
      </c>
      <c r="C44" s="16">
        <v>133800</v>
      </c>
      <c r="D44" s="18">
        <v>80316</v>
      </c>
      <c r="E44" s="18"/>
      <c r="F44" s="17">
        <v>16000</v>
      </c>
      <c r="G44" s="16">
        <v>15232</v>
      </c>
      <c r="H44" s="17">
        <v>54600</v>
      </c>
      <c r="I44" s="16">
        <v>11760</v>
      </c>
      <c r="J44" s="17">
        <v>14392</v>
      </c>
      <c r="K44" s="16">
        <v>16848</v>
      </c>
      <c r="L44" s="17">
        <v>23424</v>
      </c>
      <c r="M44" s="74"/>
      <c r="N44" s="74"/>
      <c r="O44" s="141">
        <v>14480</v>
      </c>
      <c r="P44" s="131"/>
      <c r="Q44" s="131"/>
      <c r="R44" s="136"/>
      <c r="S44" s="117">
        <f t="shared" ref="S44" si="13">SUM(C44:R44)</f>
        <v>380852</v>
      </c>
      <c r="T44" s="117"/>
    </row>
    <row r="45" spans="1:21" ht="21">
      <c r="A45" s="104" t="s">
        <v>131</v>
      </c>
      <c r="B45" s="90" t="s">
        <v>1</v>
      </c>
      <c r="C45" s="11"/>
      <c r="D45" s="19"/>
      <c r="E45" s="19"/>
      <c r="F45" s="23"/>
      <c r="G45" s="11"/>
      <c r="H45" s="23"/>
      <c r="I45" s="11"/>
      <c r="J45" s="23"/>
      <c r="K45" s="11"/>
      <c r="L45" s="23"/>
      <c r="M45" s="28" t="s">
        <v>107</v>
      </c>
      <c r="N45" s="107"/>
      <c r="O45" s="107"/>
      <c r="P45" s="107"/>
      <c r="Q45" s="107"/>
      <c r="R45" s="107"/>
      <c r="S45" s="107"/>
      <c r="T45" s="107"/>
    </row>
    <row r="46" spans="1:21" ht="21">
      <c r="A46" s="159"/>
      <c r="B46" s="4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05"/>
      <c r="O46" s="105"/>
      <c r="P46" s="105"/>
      <c r="Q46" s="105"/>
      <c r="R46" s="105"/>
      <c r="S46" s="105"/>
      <c r="T46" s="105"/>
    </row>
    <row r="47" spans="1:21" ht="21">
      <c r="A47" s="159"/>
      <c r="B47" s="4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05"/>
      <c r="O47" s="105"/>
      <c r="P47" s="105"/>
      <c r="Q47" s="105"/>
      <c r="R47" s="105"/>
      <c r="S47" s="105"/>
      <c r="T47" s="105"/>
    </row>
    <row r="48" spans="1:21" ht="21">
      <c r="A48" s="193" t="s">
        <v>123</v>
      </c>
      <c r="B48" s="193"/>
      <c r="C48" s="193"/>
      <c r="D48" s="18"/>
      <c r="E48" s="157" t="s">
        <v>129</v>
      </c>
      <c r="F48" s="157"/>
      <c r="G48" s="157"/>
      <c r="H48" s="157"/>
      <c r="I48" s="157"/>
      <c r="J48" s="157"/>
      <c r="K48" s="157" t="s">
        <v>133</v>
      </c>
      <c r="L48" s="18"/>
      <c r="M48" s="18"/>
      <c r="N48" s="157" t="s">
        <v>134</v>
      </c>
      <c r="O48" s="105"/>
      <c r="P48" s="105"/>
      <c r="Q48" s="105"/>
      <c r="R48" s="105"/>
      <c r="S48" s="105"/>
      <c r="T48" s="105"/>
    </row>
    <row r="49" spans="1:24" s="153" customFormat="1" ht="18">
      <c r="A49" s="149" t="s">
        <v>120</v>
      </c>
      <c r="B49" s="150"/>
      <c r="C49" s="151"/>
      <c r="D49" s="151"/>
      <c r="E49" s="158" t="s">
        <v>130</v>
      </c>
      <c r="F49" s="158"/>
      <c r="G49" s="158"/>
      <c r="H49" s="158"/>
      <c r="I49" s="158"/>
      <c r="J49" s="158"/>
      <c r="K49" s="158" t="s">
        <v>135</v>
      </c>
      <c r="L49" s="151"/>
      <c r="M49" s="151"/>
      <c r="N49" s="158" t="s">
        <v>136</v>
      </c>
      <c r="O49" s="152"/>
      <c r="P49" s="152"/>
      <c r="Q49" s="152"/>
      <c r="R49" s="152"/>
      <c r="S49" s="152"/>
      <c r="T49" s="152"/>
    </row>
    <row r="50" spans="1:24" s="153" customFormat="1" ht="18">
      <c r="A50" s="149" t="s">
        <v>119</v>
      </c>
      <c r="B50" s="150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2"/>
      <c r="O50" s="152"/>
      <c r="P50" s="152"/>
      <c r="Q50" s="152"/>
      <c r="R50" s="152"/>
      <c r="S50" s="152"/>
      <c r="T50" s="152"/>
    </row>
    <row r="51" spans="1:24" s="153" customFormat="1" ht="18">
      <c r="A51" s="149" t="s">
        <v>121</v>
      </c>
      <c r="B51" s="150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2"/>
      <c r="O51" s="152"/>
      <c r="P51" s="152"/>
      <c r="Q51" s="152"/>
      <c r="R51" s="152"/>
      <c r="S51" s="152"/>
      <c r="T51" s="152"/>
    </row>
    <row r="52" spans="1:24" s="153" customFormat="1" ht="18">
      <c r="A52" s="149" t="s">
        <v>122</v>
      </c>
      <c r="B52" s="150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2"/>
      <c r="O52" s="152"/>
      <c r="P52" s="152"/>
      <c r="Q52" s="152"/>
      <c r="R52" s="152"/>
      <c r="S52" s="152"/>
      <c r="T52" s="152"/>
    </row>
    <row r="53" spans="1:24" ht="21">
      <c r="A53" s="149" t="s">
        <v>127</v>
      </c>
      <c r="B53" s="4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05"/>
      <c r="O53" s="105"/>
      <c r="P53" s="105"/>
      <c r="Q53" s="105"/>
      <c r="R53" s="105"/>
      <c r="S53" s="105"/>
      <c r="T53" s="105"/>
    </row>
    <row r="54" spans="1:24" ht="21">
      <c r="A54" s="137"/>
      <c r="B54" s="13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05"/>
      <c r="O54" s="105"/>
      <c r="P54" s="105"/>
      <c r="Q54" s="105"/>
      <c r="R54" s="105"/>
      <c r="S54" s="105"/>
      <c r="T54" s="105"/>
    </row>
    <row r="55" spans="1:24" ht="21">
      <c r="R55" s="105"/>
      <c r="S55" s="105"/>
      <c r="T55" s="105"/>
      <c r="X55">
        <v>3136</v>
      </c>
    </row>
    <row r="56" spans="1:24" ht="16.5">
      <c r="A56" s="172" t="s">
        <v>27</v>
      </c>
      <c r="B56" s="172"/>
      <c r="C56" s="172"/>
      <c r="D56" s="172"/>
      <c r="E56" s="172"/>
      <c r="F56" s="52"/>
      <c r="G56" s="52"/>
      <c r="H56" s="52"/>
      <c r="I56" s="172" t="s">
        <v>124</v>
      </c>
      <c r="J56" s="172"/>
      <c r="K56" s="172"/>
      <c r="L56" s="172"/>
      <c r="M56" s="172"/>
      <c r="P56" s="172" t="s">
        <v>108</v>
      </c>
      <c r="Q56" s="172"/>
      <c r="R56" s="172"/>
      <c r="S56" s="172"/>
      <c r="T56" s="172"/>
      <c r="X56">
        <v>3136</v>
      </c>
    </row>
    <row r="57" spans="1:24" ht="16.5">
      <c r="A57" s="162" t="s">
        <v>28</v>
      </c>
      <c r="B57" s="162"/>
      <c r="C57" s="162"/>
      <c r="D57" s="162"/>
      <c r="E57" s="162"/>
      <c r="F57" s="52"/>
      <c r="G57" s="52"/>
      <c r="H57" s="52"/>
      <c r="I57" s="162" t="s">
        <v>29</v>
      </c>
      <c r="J57" s="162"/>
      <c r="K57" s="162"/>
      <c r="L57" s="162"/>
      <c r="M57" s="162"/>
      <c r="P57" s="163" t="s">
        <v>30</v>
      </c>
      <c r="Q57" s="163"/>
      <c r="R57" s="163"/>
      <c r="S57" s="163"/>
      <c r="T57" s="163"/>
    </row>
    <row r="58" spans="1:24" ht="21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</row>
    <row r="59" spans="1:24" ht="21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</row>
    <row r="60" spans="1:24" ht="21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</row>
    <row r="61" spans="1:24" ht="2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</row>
    <row r="62" spans="1:24" ht="21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</row>
    <row r="63" spans="1:24" ht="21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</row>
    <row r="64" spans="1:24">
      <c r="N64">
        <v>5232</v>
      </c>
    </row>
    <row r="65" spans="9:14">
      <c r="N65">
        <v>15190</v>
      </c>
    </row>
    <row r="67" spans="9:14">
      <c r="I67">
        <v>0</v>
      </c>
    </row>
  </sheetData>
  <mergeCells count="16">
    <mergeCell ref="A57:E57"/>
    <mergeCell ref="A1:T1"/>
    <mergeCell ref="P56:T56"/>
    <mergeCell ref="P57:T57"/>
    <mergeCell ref="I2:J2"/>
    <mergeCell ref="Q2:Q3"/>
    <mergeCell ref="R2:R3"/>
    <mergeCell ref="C2:F2"/>
    <mergeCell ref="G2:H2"/>
    <mergeCell ref="K2:L2"/>
    <mergeCell ref="M2:P2"/>
    <mergeCell ref="T2:T3"/>
    <mergeCell ref="I56:M56"/>
    <mergeCell ref="I57:M57"/>
    <mergeCell ref="A56:E56"/>
    <mergeCell ref="A48:C48"/>
  </mergeCells>
  <printOptions horizontalCentered="1"/>
  <pageMargins left="0" right="0" top="0" bottom="0" header="0.31496062992125984" footer="0.31496062992125984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Sheet1</vt:lpstr>
      <vt:lpstr>Sheet2</vt:lpstr>
      <vt:lpstr>68</vt:lpstr>
      <vt:lpstr>69</vt:lpstr>
      <vt:lpstr>'69'!Print_Area</vt:lpstr>
      <vt:lpstr>Sheet1!Print_Area</vt:lpstr>
      <vt:lpstr>Sheet2!Print_Area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OR02</dc:creator>
  <cp:lastModifiedBy>Administrator</cp:lastModifiedBy>
  <cp:lastPrinted>2026-09-04T03:04:52Z</cp:lastPrinted>
  <dcterms:created xsi:type="dcterms:W3CDTF">2022-01-24T05:17:34Z</dcterms:created>
  <dcterms:modified xsi:type="dcterms:W3CDTF">2026-09-04T03:05:19Z</dcterms:modified>
</cp:coreProperties>
</file>